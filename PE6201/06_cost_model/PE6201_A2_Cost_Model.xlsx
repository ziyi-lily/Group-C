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2460"/>
  </bookViews>
  <sheets>
    <sheet name="Inputs" sheetId="1" r:id="rId1"/>
    <sheet name="Model Results" sheetId="2" r:id="rId2"/>
    <sheet name="Cost Model" sheetId="5" r:id="rId3"/>
    <sheet name="Sensitivity" sheetId="8" r:id="rId4"/>
    <sheet name="Break-even" sheetId="11" r:id="rId5"/>
    <sheet name="Cost Levers" sheetId="10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<sst xmlns="http://schemas.openxmlformats.org/spreadsheetml/2006/main" count="317" uniqueCount="234">
  <si>
    <t>Table 1. Cost Model Inputs</t>
  </si>
  <si>
    <t>Category</t>
  </si>
  <si>
    <t>Input</t>
  </si>
  <si>
    <t>Value</t>
  </si>
  <si>
    <t>Unit</t>
  </si>
  <si>
    <t>Basis</t>
  </si>
  <si>
    <t>Source</t>
  </si>
  <si>
    <t>Operating volume</t>
  </si>
  <si>
    <t>Monthly claims</t>
  </si>
  <si>
    <t>claims/month</t>
  </si>
  <si>
    <t>Problem A requirement</t>
  </si>
  <si>
    <t>PE6201 A2 brief, Appendix A</t>
  </si>
  <si>
    <t>Failure cost</t>
  </si>
  <si>
    <t>Claims assessor hourly rate</t>
  </si>
  <si>
    <t>USD/hour</t>
  </si>
  <si>
    <t>Human handling time per failed claim</t>
  </si>
  <si>
    <t>minutes</t>
  </si>
  <si>
    <t>Failure cost per claim</t>
  </si>
  <si>
    <t>USD/failed claim</t>
  </si>
  <si>
    <t>Hourly rate × minutes ÷ 60</t>
  </si>
  <si>
    <t>Calculated</t>
  </si>
  <si>
    <t>Variable cost</t>
  </si>
  <si>
    <t>Tool/retrieval fee</t>
  </si>
  <si>
    <t>USD/run</t>
  </si>
  <si>
    <t>No paid retrieval service in repository</t>
  </si>
  <si>
    <t>Reference value</t>
  </si>
  <si>
    <t>Safety cap</t>
  </si>
  <si>
    <t>Step cap</t>
  </si>
  <si>
    <t>turns/run</t>
  </si>
  <si>
    <t>Matches four D5 live-model files</t>
  </si>
  <si>
    <t>Group-C GitHub D5 results</t>
  </si>
  <si>
    <t>Token budget ceiling</t>
  </si>
  <si>
    <t>tokens/run</t>
  </si>
  <si>
    <t>Configuration limit</t>
  </si>
  <si>
    <t>Group-C GitHub config.py</t>
  </si>
  <si>
    <t>Monthly limit per user</t>
  </si>
  <si>
    <t>runs/user/month</t>
  </si>
  <si>
    <t>Operating benchmark</t>
  </si>
  <si>
    <t>Capacity</t>
  </si>
  <si>
    <t>Users required at full monthly limit</t>
  </si>
  <si>
    <t>users</t>
  </si>
  <si>
    <t>Monthly claims ÷ user limit</t>
  </si>
  <si>
    <t>Safety</t>
  </si>
  <si>
    <t>Autonomy mode</t>
  </si>
  <si>
    <t>confirm</t>
  </si>
  <si>
    <t>mode</t>
  </si>
  <si>
    <t>Human approval before irreversible action</t>
  </si>
  <si>
    <t>Group-C GitHub model configuration</t>
  </si>
  <si>
    <t>Fixed monthly cost</t>
  </si>
  <si>
    <t>Infrastructure</t>
  </si>
  <si>
    <t>Storage and log retention</t>
  </si>
  <si>
    <t>USD/month</t>
  </si>
  <si>
    <t>Small deployment</t>
  </si>
  <si>
    <t>Reference benchmark</t>
  </si>
  <si>
    <t>Operations</t>
  </si>
  <si>
    <t>Monitoring and alerting</t>
  </si>
  <si>
    <t>Basic hosted monitoring allowance</t>
  </si>
  <si>
    <t>Evaluation</t>
  </si>
  <si>
    <t>Scheduled regression evaluation</t>
  </si>
  <si>
    <t>Periodic scripted and live checks</t>
  </si>
  <si>
    <t>Maintenance</t>
  </si>
  <si>
    <t>Maintenance effort</t>
  </si>
  <si>
    <t>hours/month</t>
  </si>
  <si>
    <t>One working day per month</t>
  </si>
  <si>
    <t>Maintenance hourly rate</t>
  </si>
  <si>
    <t>Uses assignment assessor rate</t>
  </si>
  <si>
    <t>Maintenance cost</t>
  </si>
  <si>
    <t>Hours × hourly rate</t>
  </si>
  <si>
    <t>Fixed cost</t>
  </si>
  <si>
    <t>Total fixed monthly cost</t>
  </si>
  <si>
    <t>Storage + monitoring + evaluation + maintenance</t>
  </si>
  <si>
    <t>Model prices</t>
  </si>
  <si>
    <t>Model</t>
  </si>
  <si>
    <t>OpenRouter slug</t>
  </si>
  <si>
    <t>Input price</t>
  </si>
  <si>
    <t>Output price</t>
  </si>
  <si>
    <t>Price checked</t>
  </si>
  <si>
    <t>Official listing</t>
  </si>
  <si>
    <t>Gemma 3 27B</t>
  </si>
  <si>
    <t>google/gemma-3-27b-it</t>
  </si>
  <si>
    <t>https://openrouter.ai/google/gemma-3-27b-it/api</t>
  </si>
  <si>
    <t>Mistral Medium 3.5</t>
  </si>
  <si>
    <t>mistralai/mistral-medium-3-5</t>
  </si>
  <si>
    <t>https://openrouter.ai/mistralai/mistral-medium-3-5/providers</t>
  </si>
  <si>
    <t>GPT-4o-mini</t>
  </si>
  <si>
    <t>openai/gpt-4o-mini</t>
  </si>
  <si>
    <t>https://openrouter.ai/openai/gpt-4o-mini/overview</t>
  </si>
  <si>
    <t>Qwen3.8 Flash</t>
  </si>
  <si>
    <t>qwen/qwen3.8-flash</t>
  </si>
  <si>
    <t>https://openrouter.ai/qwen/qwen3.8-flash</t>
  </si>
  <si>
    <t>Sequential versus parallel comparison</t>
  </si>
  <si>
    <t>Metric</t>
  </si>
  <si>
    <t>Sequential</t>
  </si>
  <si>
    <t>Parallel</t>
  </si>
  <si>
    <t>Change</t>
  </si>
  <si>
    <t>Source status</t>
  </si>
  <si>
    <t>Trials</t>
  </si>
  <si>
    <t>trials</t>
  </si>
  <si>
    <t>Prior Agent Loop package; not final 58-trial D5 run</t>
  </si>
  <si>
    <t>Median turns</t>
  </si>
  <si>
    <t>33-trial Agent Loop comparison</t>
  </si>
  <si>
    <t>Worst turns</t>
  </si>
  <si>
    <t>Total input tokens</t>
  </si>
  <si>
    <t>tokens</t>
  </si>
  <si>
    <t>Total recorded cost</t>
  </si>
  <si>
    <t>USD/33 trials</t>
  </si>
  <si>
    <t>I</t>
  </si>
  <si>
    <t>Table 2. Model Test Results and Token Usage</t>
  </si>
  <si>
    <t>Model slug</t>
  </si>
  <si>
    <t>Passed</t>
  </si>
  <si>
    <t>Code-check pass rate</t>
  </si>
  <si>
    <t>Total turns</t>
  </si>
  <si>
    <t>Total output tokens</t>
  </si>
  <si>
    <t>Average input/run</t>
  </si>
  <si>
    <t>Average output/run</t>
  </si>
  <si>
    <t>Recorded cost (generic)</t>
  </si>
  <si>
    <t>Judge all-criteria passes</t>
  </si>
  <si>
    <t>Judge diagnostic rate</t>
  </si>
  <si>
    <t>Missing judge verdict rows</t>
  </si>
  <si>
    <t>GitHub source</t>
  </si>
  <si>
    <t>https://github.com/ziyi-lily/Group-C/blob/main/PE6201/results/D5-Gemma%203%2027B_AfterJudge.json</t>
  </si>
  <si>
    <t>https://github.com/ziyi-lily/Group-C/blob/main/PE6201/results/D5-Mistral%20Medium3.5_AfterJudge.json</t>
  </si>
  <si>
    <t>https://github.com/ziyi-lily/Group-C/blob/main/PE6201/results/D5-gpt-4o-mini_AfterJudge.json</t>
  </si>
  <si>
    <t>https://github.com/ziyi-lily/Group-C/blob/main/PE6201/results/D5-qwen3.8-flash_AfterJudge.json</t>
  </si>
  <si>
    <t>Success measure</t>
  </si>
  <si>
    <t>The calculation uses code-check passes from 58 trials per model. This measure is available for all four models.</t>
  </si>
  <si>
    <t>Judge results</t>
  </si>
  <si>
    <t>The Judge results cover 38 cases and provide a separate quality check. They are not used to calculate fallback cost.</t>
  </si>
  <si>
    <t>Cost basis</t>
  </si>
  <si>
    <t>The JSON cost field uses generic rates of $0.10/M input and $0.40/M output tokens. Table 3 uses each model's prices from Table 1.</t>
  </si>
  <si>
    <t>Table 3. Three-layer Cost Model</t>
  </si>
  <si>
    <t>Success rate</t>
  </si>
  <si>
    <t>Avg input tokens</t>
  </si>
  <si>
    <t>Avg output tokens</t>
  </si>
  <si>
    <t>Input price/M</t>
  </si>
  <si>
    <t>Output price/M</t>
  </si>
  <si>
    <t>Input cost</t>
  </si>
  <si>
    <t>Output cost</t>
  </si>
  <si>
    <t>Tool fee</t>
  </si>
  <si>
    <t>Layer 1 variable</t>
  </si>
  <si>
    <t>Layer 2 fallback</t>
  </si>
  <si>
    <t>Layer 3 fixed allocation</t>
  </si>
  <si>
    <t>Total cost/claim</t>
  </si>
  <si>
    <t>API cost/successful automated task</t>
  </si>
  <si>
    <t>Monthly API</t>
  </si>
  <si>
    <t>Monthly fallback</t>
  </si>
  <si>
    <t>Monthly fixed</t>
  </si>
  <si>
    <t>Monthly total</t>
  </si>
  <si>
    <t>Layer 1</t>
  </si>
  <si>
    <t>Measured average input/output tokens × model token prices + tool fee.</t>
  </si>
  <si>
    <t>Layer 2</t>
  </si>
  <si>
    <t>Expected fallback cost = (1 − measured code-check success rate) × $7.60.</t>
  </si>
  <si>
    <t>Layer 3</t>
  </si>
  <si>
    <t>Fixed monthly costs are allocated across 8,000 claims. Monthly fixed cost is counted once in the total.</t>
  </si>
  <si>
    <t>Table 4. Success-rate Sensitivity Analysis</t>
  </si>
  <si>
    <t>Scenario</t>
  </si>
  <si>
    <t>Base success rate</t>
  </si>
  <si>
    <t>Scenario success rate</t>
  </si>
  <si>
    <t>Layer 1/claim</t>
  </si>
  <si>
    <t>Fallback/claim</t>
  </si>
  <si>
    <t>Fixed/claim</t>
  </si>
  <si>
    <t>Total/claim</t>
  </si>
  <si>
    <t>Downside 10pp</t>
  </si>
  <si>
    <t>Downside 5pp</t>
  </si>
  <si>
    <t>Base</t>
  </si>
  <si>
    <t>Upside 5pp</t>
  </si>
  <si>
    <t>Upside 10pp</t>
  </si>
  <si>
    <t>Sensitivity rule</t>
  </si>
  <si>
    <t>Each 1 percentage-point increase in success rate reduces expected monthly fallback cost by $608 at 8,000 claims and $7.60 per failure.</t>
  </si>
  <si>
    <t>Interpretation</t>
  </si>
  <si>
    <t>The scenario changes success rate only. Token usage, model prices and fixed monthly costs remain unchanged.</t>
  </si>
  <si>
    <t>Range</t>
  </si>
  <si>
    <t>Success rates are capped between 0% and 100%.</t>
  </si>
  <si>
    <t>Table 5. Model Break-even Analysis</t>
  </si>
  <si>
    <t>Cheap model</t>
  </si>
  <si>
    <t>Alternative model</t>
  </si>
  <si>
    <t>Cheap run cost C</t>
  </si>
  <si>
    <t>Alternative run cost E</t>
  </si>
  <si>
    <t>Cost premium E−C</t>
  </si>
  <si>
    <t>Failure cost F</t>
  </si>
  <si>
    <t>Required success improvement</t>
  </si>
  <si>
    <t>Assignment break-even rate</t>
  </si>
  <si>
    <t>Cheap measured success</t>
  </si>
  <si>
    <t>Alternative measured success</t>
  </si>
  <si>
    <t>Observed success change</t>
  </si>
  <si>
    <t>Formula</t>
  </si>
  <si>
    <t>Assignment break-even rate = 1 − (E − C) ÷ F. Required success improvement = (E − C) ÷ F.</t>
  </si>
  <si>
    <t>Decision test</t>
  </si>
  <si>
    <t>The alternative must improve measured success by at least the required improvement and must not reduce success.</t>
  </si>
  <si>
    <t>Price basis</t>
  </si>
  <si>
    <t>Run costs use the model prices in Table 1, not the generic source-JSON cost field.</t>
  </si>
  <si>
    <t>Table 6. Four Cost Levers</t>
  </si>
  <si>
    <t>Cost lever</t>
  </si>
  <si>
    <t>Before</t>
  </si>
  <si>
    <t>After</t>
  </si>
  <si>
    <t>Absolute change</t>
  </si>
  <si>
    <t>Relative change</t>
  </si>
  <si>
    <t>Estimated monthly implication</t>
  </si>
  <si>
    <t>Evidence status</t>
  </si>
  <si>
    <t>Primary evidence</t>
  </si>
  <si>
    <t>Tool block size</t>
  </si>
  <si>
    <t>Prompt-prefix size</t>
  </si>
  <si>
    <t>approx. tokens/turn</t>
  </si>
  <si>
    <t>Model-dependent added cost</t>
  </si>
  <si>
    <t>V2 uses more tokens to make the tool instructions clearer.</t>
  </si>
  <si>
    <t>GitHub D2b controlled rewrite</t>
  </si>
  <si>
    <t>https://github.com/ziyi-lily/Group-C/blob/main/PE6201/docs/D2b_TOOL_DESCRIPTORS.md</t>
  </si>
  <si>
    <t>Turn count</t>
  </si>
  <si>
    <t>See cost comparison below</t>
  </si>
  <si>
    <t>Parallel calls send the conversation history fewer times.</t>
  </si>
  <si>
    <t>https://github.com/ziyi-lily/Group-C/tree/main/PE6201/results</t>
  </si>
  <si>
    <t>tokens/33 trials</t>
  </si>
  <si>
    <t>Lower input-token usage accounts for most of the API saving.</t>
  </si>
  <si>
    <t>Prior Agent Loop package supplied by the group</t>
  </si>
  <si>
    <t>Recorded model cost</t>
  </si>
  <si>
    <t>The monthly estimate assumes the same mix of tasks.</t>
  </si>
  <si>
    <t>Observation size</t>
  </si>
  <si>
    <t>Mean preauthorisation return</t>
  </si>
  <si>
    <t>tokens/call</t>
  </si>
  <si>
    <t>Small added observation cost</t>
  </si>
  <si>
    <t>V2 returns more text to include expired preauthorisation details.</t>
  </si>
  <si>
    <t>GitHub D2b token measurement</t>
  </si>
  <si>
    <t>Live mixed pass rate</t>
  </si>
  <si>
    <t>rate</t>
  </si>
  <si>
    <t>This V1/V2 test uses one model. It is separate from the D5 results.</t>
  </si>
  <si>
    <t>GitHub D2b live controlled comparison</t>
  </si>
  <si>
    <t>Observed D5 model range</t>
  </si>
  <si>
    <t>Estimated fallback saving between the lowest and highest D5 pass rates.</t>
  </si>
  <si>
    <t>Four D5 model files</t>
  </si>
  <si>
    <t>Overlap</t>
  </si>
  <si>
    <t>The tool-block and observation changes are part of the same V1-to-V2 rewrite. Their effects should not be added as separate savings.</t>
  </si>
  <si>
    <t>Comparison scope</t>
  </si>
  <si>
    <t>Sequential-versus-parallel figures use the 33-trial Agent Loop comparison.</t>
  </si>
  <si>
    <t>At 8,000 claims per month, a one-point increase in success rate saves $608 in expected fallback cost.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</si>
</sst>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$0.0000"/>
    <numFmt numFmtId="177" formatCode="0.0%"/>
    <numFmt numFmtId="178" formatCode="\$#,##0.00"/>
    <numFmt numFmtId="179" formatCode="\$0.000000"/>
    <numFmt numFmtId="180" formatCode="#,##0.0"/>
    <numFmt numFmtId="181" formatCode="yyyy\-mm\-dd"/>
  </numFmts>
  <fonts count="29">
    <font>
      <sz val="11"/>
      <color theme="1"/>
      <name val="宋体"/>
      <charset val="134"/>
      <scheme val="minor"/>
    </font>
    <font>
      <sz val="11"/>
      <name val="Carlito"/>
      <charset val="134"/>
    </font>
    <font>
      <sz val="10"/>
      <color rgb="FF1F1F1F"/>
      <name val="Arial"/>
      <charset val="134"/>
    </font>
    <font>
      <sz val="20"/>
      <color theme="1"/>
      <name val="宋体"/>
      <charset val="134"/>
      <scheme val="minor"/>
    </font>
    <font>
      <b/>
      <sz val="10"/>
      <color rgb="FFFFFFFF"/>
      <name val="Arial"/>
      <charset val="134"/>
    </font>
    <font>
      <b/>
      <sz val="10"/>
      <color rgb="FF1F1F1F"/>
      <name val="Arial"/>
      <charset val="134"/>
    </font>
    <font>
      <i/>
      <sz val="10"/>
      <color rgb="FF1F1F1F"/>
      <name val="Arial"/>
      <charset val="134"/>
    </font>
    <font>
      <b/>
      <sz val="10"/>
      <color rgb="FF1F4E78"/>
      <name val="Arial"/>
      <charset val="134"/>
    </font>
    <font>
      <sz val="10"/>
      <color rgb="FF008000"/>
      <name val="Arial"/>
      <charset val="134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rgb="FF1F4E78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 style="thin">
        <color rgb="FFB4C6E7"/>
      </bottom>
      <diagonal/>
    </border>
    <border>
      <left style="thin">
        <color rgb="FFFFFFFF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11" applyNumberFormat="0" applyAlignment="0" applyProtection="0">
      <alignment vertical="center"/>
    </xf>
    <xf numFmtId="0" fontId="19" fillId="3" borderId="12" applyNumberFormat="0" applyAlignment="0" applyProtection="0">
      <alignment vertical="center"/>
    </xf>
    <xf numFmtId="0" fontId="20" fillId="3" borderId="11" applyNumberFormat="0" applyAlignment="0" applyProtection="0">
      <alignment vertical="center"/>
    </xf>
    <xf numFmtId="0" fontId="21" fillId="7" borderId="13" applyNumberFormat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1" fillId="0" borderId="0"/>
  </cellStyleXfs>
  <cellXfs count="51">
    <xf numFmtId="0" fontId="0" fillId="0" borderId="0" xfId="0">
      <alignment vertical="center"/>
    </xf>
    <xf numFmtId="0" fontId="1" fillId="0" borderId="0" xfId="49"/>
    <xf numFmtId="0" fontId="2" fillId="0" borderId="0" xfId="49" applyNumberFormat="1" applyFont="1" applyFill="1" applyBorder="1" applyAlignment="1">
      <alignment vertical="center"/>
    </xf>
    <xf numFmtId="0" fontId="3" fillId="0" borderId="0" xfId="0" applyFont="1">
      <alignment vertical="center"/>
    </xf>
    <xf numFmtId="0" fontId="2" fillId="0" borderId="1" xfId="49" applyNumberFormat="1" applyFont="1" applyFill="1" applyBorder="1" applyAlignment="1">
      <alignment vertical="center"/>
    </xf>
    <xf numFmtId="0" fontId="4" fillId="2" borderId="2" xfId="49" applyNumberFormat="1" applyFont="1" applyFill="1" applyBorder="1" applyAlignment="1">
      <alignment horizontal="center" vertical="center" wrapText="1"/>
    </xf>
    <xf numFmtId="0" fontId="4" fillId="2" borderId="3" xfId="49" applyNumberFormat="1" applyFont="1" applyFill="1" applyBorder="1" applyAlignment="1">
      <alignment horizontal="center" vertical="center" wrapText="1"/>
    </xf>
    <xf numFmtId="0" fontId="2" fillId="0" borderId="4" xfId="49" applyNumberFormat="1" applyFont="1" applyFill="1" applyBorder="1" applyAlignment="1">
      <alignment vertical="center"/>
    </xf>
    <xf numFmtId="0" fontId="2" fillId="0" borderId="4" xfId="49" applyNumberFormat="1" applyFont="1" applyFill="1" applyBorder="1" applyAlignment="1">
      <alignment horizontal="left" vertical="center"/>
    </xf>
    <xf numFmtId="0" fontId="2" fillId="0" borderId="5" xfId="49" applyNumberFormat="1" applyFont="1" applyFill="1" applyBorder="1" applyAlignment="1">
      <alignment vertical="center"/>
    </xf>
    <xf numFmtId="0" fontId="2" fillId="0" borderId="5" xfId="49" applyNumberFormat="1" applyFont="1" applyFill="1" applyBorder="1" applyAlignment="1">
      <alignment horizontal="left" vertical="center"/>
    </xf>
    <xf numFmtId="176" fontId="2" fillId="0" borderId="5" xfId="49" applyNumberFormat="1" applyFont="1" applyFill="1" applyBorder="1" applyAlignment="1">
      <alignment horizontal="left" vertical="center"/>
    </xf>
    <xf numFmtId="177" fontId="2" fillId="0" borderId="5" xfId="49" applyNumberFormat="1" applyFont="1" applyFill="1" applyBorder="1" applyAlignment="1">
      <alignment horizontal="left" vertical="center"/>
    </xf>
    <xf numFmtId="0" fontId="2" fillId="0" borderId="6" xfId="49" applyNumberFormat="1" applyFont="1" applyFill="1" applyBorder="1" applyAlignment="1">
      <alignment vertical="center"/>
    </xf>
    <xf numFmtId="177" fontId="2" fillId="0" borderId="6" xfId="49" applyNumberFormat="1" applyFont="1" applyFill="1" applyBorder="1" applyAlignment="1">
      <alignment horizontal="left" vertical="center"/>
    </xf>
    <xf numFmtId="0" fontId="5" fillId="0" borderId="0" xfId="49" applyNumberFormat="1" applyFont="1" applyFill="1" applyBorder="1" applyAlignment="1">
      <alignment vertical="center"/>
    </xf>
    <xf numFmtId="0" fontId="6" fillId="0" borderId="0" xfId="49" applyNumberFormat="1" applyFont="1" applyFill="1" applyBorder="1" applyAlignment="1">
      <alignment vertical="center"/>
    </xf>
    <xf numFmtId="177" fontId="2" fillId="0" borderId="4" xfId="49" applyNumberFormat="1" applyFont="1" applyFill="1" applyBorder="1" applyAlignment="1">
      <alignment horizontal="left" vertical="center"/>
    </xf>
    <xf numFmtId="178" fontId="2" fillId="0" borderId="5" xfId="49" applyNumberFormat="1" applyFont="1" applyFill="1" applyBorder="1" applyAlignment="1">
      <alignment horizontal="left" vertical="center"/>
    </xf>
    <xf numFmtId="178" fontId="2" fillId="0" borderId="6" xfId="49" applyNumberFormat="1" applyFont="1" applyFill="1" applyBorder="1" applyAlignment="1">
      <alignment horizontal="left" vertical="center"/>
    </xf>
    <xf numFmtId="0" fontId="4" fillId="2" borderId="7" xfId="49" applyNumberFormat="1" applyFont="1" applyFill="1" applyBorder="1" applyAlignment="1">
      <alignment horizontal="center" vertical="center" wrapText="1"/>
    </xf>
    <xf numFmtId="0" fontId="7" fillId="3" borderId="0" xfId="49" applyNumberFormat="1" applyFont="1" applyFill="1" applyBorder="1" applyAlignment="1">
      <alignment vertical="center"/>
    </xf>
    <xf numFmtId="0" fontId="8" fillId="0" borderId="0" xfId="49" applyNumberFormat="1" applyFont="1" applyFill="1" applyBorder="1" applyAlignment="1">
      <alignment vertical="center"/>
    </xf>
    <xf numFmtId="0" fontId="2" fillId="0" borderId="6" xfId="49" applyNumberFormat="1" applyFont="1" applyFill="1" applyBorder="1" applyAlignment="1">
      <alignment horizontal="left" vertical="center"/>
    </xf>
    <xf numFmtId="179" fontId="2" fillId="0" borderId="4" xfId="49" applyNumberFormat="1" applyFont="1" applyFill="1" applyBorder="1" applyAlignment="1">
      <alignment horizontal="left" vertical="center"/>
    </xf>
    <xf numFmtId="179" fontId="2" fillId="0" borderId="5" xfId="49" applyNumberFormat="1" applyFont="1" applyFill="1" applyBorder="1" applyAlignment="1">
      <alignment horizontal="left" vertical="center"/>
    </xf>
    <xf numFmtId="179" fontId="2" fillId="0" borderId="6" xfId="49" applyNumberFormat="1" applyFont="1" applyFill="1" applyBorder="1" applyAlignment="1">
      <alignment horizontal="left" vertical="center"/>
    </xf>
    <xf numFmtId="10" fontId="2" fillId="0" borderId="4" xfId="49" applyNumberFormat="1" applyFont="1" applyFill="1" applyBorder="1" applyAlignment="1">
      <alignment horizontal="left" vertical="center"/>
    </xf>
    <xf numFmtId="10" fontId="2" fillId="0" borderId="5" xfId="49" applyNumberFormat="1" applyFont="1" applyFill="1" applyBorder="1" applyAlignment="1">
      <alignment horizontal="left" vertical="center"/>
    </xf>
    <xf numFmtId="10" fontId="2" fillId="0" borderId="6" xfId="49" applyNumberFormat="1" applyFont="1" applyFill="1" applyBorder="1" applyAlignment="1">
      <alignment horizontal="left" vertical="center"/>
    </xf>
    <xf numFmtId="0" fontId="4" fillId="4" borderId="7" xfId="49" applyNumberFormat="1" applyFont="1" applyFill="1" applyBorder="1" applyAlignment="1">
      <alignment horizontal="center" vertical="center" wrapText="1"/>
    </xf>
    <xf numFmtId="177" fontId="2" fillId="0" borderId="4" xfId="49" applyNumberFormat="1" applyFont="1" applyFill="1" applyBorder="1" applyAlignment="1">
      <alignment vertical="center"/>
    </xf>
    <xf numFmtId="177" fontId="2" fillId="0" borderId="5" xfId="49" applyNumberFormat="1" applyFont="1" applyFill="1" applyBorder="1" applyAlignment="1">
      <alignment vertical="center"/>
    </xf>
    <xf numFmtId="177" fontId="2" fillId="0" borderId="6" xfId="49" applyNumberFormat="1" applyFont="1" applyFill="1" applyBorder="1" applyAlignment="1">
      <alignment vertical="center"/>
    </xf>
    <xf numFmtId="176" fontId="2" fillId="0" borderId="4" xfId="49" applyNumberFormat="1" applyFont="1" applyFill="1" applyBorder="1" applyAlignment="1">
      <alignment vertical="center"/>
    </xf>
    <xf numFmtId="176" fontId="2" fillId="0" borderId="5" xfId="49" applyNumberFormat="1" applyFont="1" applyFill="1" applyBorder="1" applyAlignment="1">
      <alignment vertical="center"/>
    </xf>
    <xf numFmtId="176" fontId="2" fillId="0" borderId="6" xfId="49" applyNumberFormat="1" applyFont="1" applyFill="1" applyBorder="1" applyAlignment="1">
      <alignment vertical="center"/>
    </xf>
    <xf numFmtId="178" fontId="2" fillId="0" borderId="4" xfId="49" applyNumberFormat="1" applyFont="1" applyFill="1" applyBorder="1" applyAlignment="1">
      <alignment vertical="center"/>
    </xf>
    <xf numFmtId="178" fontId="2" fillId="0" borderId="5" xfId="49" applyNumberFormat="1" applyFont="1" applyFill="1" applyBorder="1" applyAlignment="1">
      <alignment vertical="center"/>
    </xf>
    <xf numFmtId="178" fontId="2" fillId="0" borderId="6" xfId="49" applyNumberFormat="1" applyFont="1" applyFill="1" applyBorder="1" applyAlignment="1">
      <alignment vertical="center"/>
    </xf>
    <xf numFmtId="180" fontId="2" fillId="0" borderId="4" xfId="49" applyNumberFormat="1" applyFont="1" applyFill="1" applyBorder="1" applyAlignment="1">
      <alignment vertical="center"/>
    </xf>
    <xf numFmtId="180" fontId="2" fillId="0" borderId="5" xfId="49" applyNumberFormat="1" applyFont="1" applyFill="1" applyBorder="1" applyAlignment="1">
      <alignment vertical="center"/>
    </xf>
    <xf numFmtId="180" fontId="2" fillId="0" borderId="6" xfId="49" applyNumberFormat="1" applyFont="1" applyFill="1" applyBorder="1" applyAlignment="1">
      <alignment vertical="center"/>
    </xf>
    <xf numFmtId="179" fontId="2" fillId="0" borderId="4" xfId="49" applyNumberFormat="1" applyFont="1" applyFill="1" applyBorder="1" applyAlignment="1">
      <alignment vertical="center"/>
    </xf>
    <xf numFmtId="179" fontId="2" fillId="0" borderId="5" xfId="49" applyNumberFormat="1" applyFont="1" applyFill="1" applyBorder="1" applyAlignment="1">
      <alignment vertical="center"/>
    </xf>
    <xf numFmtId="179" fontId="2" fillId="0" borderId="6" xfId="49" applyNumberFormat="1" applyFont="1" applyFill="1" applyBorder="1" applyAlignment="1">
      <alignment vertical="center"/>
    </xf>
    <xf numFmtId="0" fontId="9" fillId="0" borderId="0" xfId="0" applyFont="1">
      <alignment vertical="center"/>
    </xf>
    <xf numFmtId="0" fontId="2" fillId="0" borderId="0" xfId="49" applyNumberFormat="1" applyFont="1" applyFill="1" applyBorder="1" applyAlignment="1">
      <alignment horizontal="left" vertical="center"/>
    </xf>
    <xf numFmtId="181" fontId="2" fillId="0" borderId="4" xfId="49" applyNumberFormat="1" applyFont="1" applyFill="1" applyBorder="1" applyAlignment="1">
      <alignment horizontal="left" vertical="center"/>
    </xf>
    <xf numFmtId="181" fontId="2" fillId="0" borderId="5" xfId="49" applyNumberFormat="1" applyFont="1" applyFill="1" applyBorder="1" applyAlignment="1">
      <alignment horizontal="left" vertical="center"/>
    </xf>
    <xf numFmtId="181" fontId="2" fillId="0" borderId="6" xfId="49" applyNumberFormat="1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8">
    <dxf>
      <font>
        <b val="1"/>
        <color rgb="FF9C0006"/>
      </font>
      <fill>
        <patternFill patternType="solid">
          <bgColor rgb="FFFCE8E6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PE6201_A2_Cost_Model_Revised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puts"/>
      <sheetName val="Model Results"/>
      <sheetName val="Viz 1 Monthly Cost"/>
      <sheetName val="Viz 2 Cost Mix"/>
      <sheetName val="Viz 3 Sensitivity"/>
      <sheetName val="Viz 4 Efficiency"/>
      <sheetName val="Report Draft"/>
    </sheetNames>
    <sheetDataSet>
      <sheetData sheetId="0">
        <row r="5">
          <cell r="C5">
            <v>8000</v>
          </cell>
        </row>
        <row r="8">
          <cell r="C8">
            <v>7.6</v>
          </cell>
        </row>
        <row r="9">
          <cell r="C9">
            <v>0</v>
          </cell>
        </row>
        <row r="24">
          <cell r="C24">
            <v>429</v>
          </cell>
        </row>
        <row r="28">
          <cell r="C28">
            <v>0.08</v>
          </cell>
          <cell r="D28">
            <v>0.16</v>
          </cell>
        </row>
        <row r="29">
          <cell r="C29">
            <v>1.5</v>
          </cell>
          <cell r="D29">
            <v>7.5</v>
          </cell>
        </row>
        <row r="30">
          <cell r="C30">
            <v>0.15</v>
          </cell>
          <cell r="D30">
            <v>0.6</v>
          </cell>
        </row>
        <row r="31">
          <cell r="C31">
            <v>0.15</v>
          </cell>
          <cell r="D31">
            <v>0.47</v>
          </cell>
        </row>
      </sheetData>
      <sheetData sheetId="1">
        <row r="5">
          <cell r="A5" t="str">
            <v>Gemma 3 27B</v>
          </cell>
        </row>
        <row r="5">
          <cell r="E5">
            <v>0.586206896551724</v>
          </cell>
        </row>
        <row r="5">
          <cell r="J5">
            <v>8234.12068965517</v>
          </cell>
          <cell r="K5">
            <v>389.913793103448</v>
          </cell>
        </row>
        <row r="6">
          <cell r="A6" t="str">
            <v>Mistral Medium 3.5</v>
          </cell>
        </row>
        <row r="6">
          <cell r="E6">
            <v>0.53448275862069</v>
          </cell>
        </row>
        <row r="6">
          <cell r="J6">
            <v>7509.72413793103</v>
          </cell>
          <cell r="K6">
            <v>455.48275862069</v>
          </cell>
        </row>
        <row r="7">
          <cell r="A7" t="str">
            <v>GPT-4o-mini</v>
          </cell>
        </row>
        <row r="7">
          <cell r="E7">
            <v>0.586206896551724</v>
          </cell>
        </row>
        <row r="7">
          <cell r="J7">
            <v>7761.20689655172</v>
          </cell>
          <cell r="K7">
            <v>206.844827586207</v>
          </cell>
        </row>
        <row r="8">
          <cell r="A8" t="str">
            <v>Qwen3.8 Flash</v>
          </cell>
        </row>
        <row r="8">
          <cell r="E8">
            <v>0.5</v>
          </cell>
        </row>
        <row r="8">
          <cell r="J8">
            <v>8619.8275862069</v>
          </cell>
          <cell r="K8">
            <v>1996.93103448276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8"/>
  <sheetViews>
    <sheetView tabSelected="1" workbookViewId="0">
      <selection activeCell="A5" sqref="A5"/>
    </sheetView>
  </sheetViews>
  <sheetFormatPr defaultColWidth="9.23076923076923" defaultRowHeight="16.8" outlineLevelCol="5"/>
  <cols>
    <col min="1" max="1" width="23.0769230769231" customWidth="1"/>
    <col min="2" max="2" width="37.6538461538462" customWidth="1"/>
    <col min="3" max="3" width="13.1346153846154" customWidth="1"/>
    <col min="4" max="4" width="19.5480769230769" customWidth="1"/>
    <col min="5" max="5" width="48.5480769230769" customWidth="1"/>
    <col min="6" max="6" width="54.4807692307692" customWidth="1"/>
  </cols>
  <sheetData>
    <row r="1" ht="28.8" spans="1:1">
      <c r="A1" s="3" t="s">
        <v>0</v>
      </c>
    </row>
    <row r="2" ht="20" customHeight="1" spans="1:6">
      <c r="A2" s="5" t="s">
        <v>1</v>
      </c>
      <c r="B2" s="6" t="s">
        <v>2</v>
      </c>
      <c r="C2" s="5" t="s">
        <v>3</v>
      </c>
      <c r="D2" s="6" t="s">
        <v>4</v>
      </c>
      <c r="E2" s="5" t="s">
        <v>5</v>
      </c>
      <c r="F2" s="6" t="s">
        <v>6</v>
      </c>
    </row>
    <row r="3" spans="1:6">
      <c r="A3" s="7" t="s">
        <v>7</v>
      </c>
      <c r="B3" s="7" t="s">
        <v>8</v>
      </c>
      <c r="C3" s="18">
        <v>8000</v>
      </c>
      <c r="D3" s="7" t="s">
        <v>9</v>
      </c>
      <c r="E3" s="7" t="s">
        <v>10</v>
      </c>
      <c r="F3" s="7" t="s">
        <v>11</v>
      </c>
    </row>
    <row r="4" spans="1:6">
      <c r="A4" s="9" t="s">
        <v>12</v>
      </c>
      <c r="B4" s="9" t="s">
        <v>13</v>
      </c>
      <c r="C4" s="18">
        <v>38</v>
      </c>
      <c r="D4" s="9" t="s">
        <v>14</v>
      </c>
      <c r="E4" s="9" t="s">
        <v>10</v>
      </c>
      <c r="F4" s="9" t="s">
        <v>11</v>
      </c>
    </row>
    <row r="5" spans="1:6">
      <c r="A5" s="9" t="s">
        <v>12</v>
      </c>
      <c r="B5" s="9" t="s">
        <v>15</v>
      </c>
      <c r="C5" s="18">
        <v>12</v>
      </c>
      <c r="D5" s="9" t="s">
        <v>16</v>
      </c>
      <c r="E5" s="9" t="s">
        <v>10</v>
      </c>
      <c r="F5" s="9" t="s">
        <v>11</v>
      </c>
    </row>
    <row r="6" spans="1:6">
      <c r="A6" s="9" t="s">
        <v>12</v>
      </c>
      <c r="B6" s="9" t="s">
        <v>17</v>
      </c>
      <c r="C6" s="18">
        <f>C4*C5/60</f>
        <v>7.6</v>
      </c>
      <c r="D6" s="9" t="s">
        <v>18</v>
      </c>
      <c r="E6" s="9" t="s">
        <v>19</v>
      </c>
      <c r="F6" s="9" t="s">
        <v>20</v>
      </c>
    </row>
    <row r="7" spans="1:6">
      <c r="A7" s="9" t="s">
        <v>21</v>
      </c>
      <c r="B7" s="9" t="s">
        <v>22</v>
      </c>
      <c r="C7" s="18">
        <v>0</v>
      </c>
      <c r="D7" s="9" t="s">
        <v>23</v>
      </c>
      <c r="E7" s="9" t="s">
        <v>24</v>
      </c>
      <c r="F7" s="9" t="s">
        <v>25</v>
      </c>
    </row>
    <row r="8" spans="1:6">
      <c r="A8" s="9" t="s">
        <v>26</v>
      </c>
      <c r="B8" s="9" t="s">
        <v>27</v>
      </c>
      <c r="C8" s="18">
        <v>8</v>
      </c>
      <c r="D8" s="9" t="s">
        <v>28</v>
      </c>
      <c r="E8" s="9" t="s">
        <v>29</v>
      </c>
      <c r="F8" s="9" t="s">
        <v>30</v>
      </c>
    </row>
    <row r="9" spans="1:6">
      <c r="A9" s="9" t="s">
        <v>26</v>
      </c>
      <c r="B9" s="9" t="s">
        <v>31</v>
      </c>
      <c r="C9" s="18">
        <v>60000</v>
      </c>
      <c r="D9" s="9" t="s">
        <v>32</v>
      </c>
      <c r="E9" s="9" t="s">
        <v>33</v>
      </c>
      <c r="F9" s="9" t="s">
        <v>34</v>
      </c>
    </row>
    <row r="10" spans="1:6">
      <c r="A10" s="9" t="s">
        <v>26</v>
      </c>
      <c r="B10" s="9" t="s">
        <v>35</v>
      </c>
      <c r="C10" s="18">
        <v>500</v>
      </c>
      <c r="D10" s="9" t="s">
        <v>36</v>
      </c>
      <c r="E10" s="9" t="s">
        <v>37</v>
      </c>
      <c r="F10" s="9" t="s">
        <v>25</v>
      </c>
    </row>
    <row r="11" spans="1:6">
      <c r="A11" s="9" t="s">
        <v>38</v>
      </c>
      <c r="B11" s="9" t="s">
        <v>39</v>
      </c>
      <c r="C11" s="18">
        <f>ROUNDUP(C3/C10,0)</f>
        <v>16</v>
      </c>
      <c r="D11" s="9" t="s">
        <v>40</v>
      </c>
      <c r="E11" s="9" t="s">
        <v>41</v>
      </c>
      <c r="F11" s="9" t="s">
        <v>20</v>
      </c>
    </row>
    <row r="12" spans="1:6">
      <c r="A12" s="13" t="s">
        <v>42</v>
      </c>
      <c r="B12" s="13" t="s">
        <v>43</v>
      </c>
      <c r="C12" s="18" t="s">
        <v>44</v>
      </c>
      <c r="D12" s="13" t="s">
        <v>45</v>
      </c>
      <c r="E12" s="13" t="s">
        <v>46</v>
      </c>
      <c r="F12" s="13" t="s">
        <v>47</v>
      </c>
    </row>
    <row r="14" ht="20.4" spans="1:1">
      <c r="A14" s="46" t="s">
        <v>48</v>
      </c>
    </row>
    <row r="15" spans="1:6">
      <c r="A15" s="5" t="s">
        <v>1</v>
      </c>
      <c r="B15" s="6" t="s">
        <v>2</v>
      </c>
      <c r="C15" s="6" t="s">
        <v>3</v>
      </c>
      <c r="D15" s="6" t="s">
        <v>4</v>
      </c>
      <c r="E15" s="6" t="s">
        <v>5</v>
      </c>
      <c r="F15" s="20" t="s">
        <v>6</v>
      </c>
    </row>
    <row r="16" spans="1:6">
      <c r="A16" s="7" t="s">
        <v>49</v>
      </c>
      <c r="B16" s="7" t="s">
        <v>50</v>
      </c>
      <c r="C16" s="18">
        <v>25</v>
      </c>
      <c r="D16" s="7" t="s">
        <v>51</v>
      </c>
      <c r="E16" s="7" t="s">
        <v>52</v>
      </c>
      <c r="F16" s="7" t="s">
        <v>53</v>
      </c>
    </row>
    <row r="17" spans="1:6">
      <c r="A17" s="9" t="s">
        <v>54</v>
      </c>
      <c r="B17" s="9" t="s">
        <v>55</v>
      </c>
      <c r="C17" s="18">
        <v>50</v>
      </c>
      <c r="D17" s="9" t="s">
        <v>51</v>
      </c>
      <c r="E17" s="9" t="s">
        <v>56</v>
      </c>
      <c r="F17" s="9" t="s">
        <v>53</v>
      </c>
    </row>
    <row r="18" spans="1:6">
      <c r="A18" s="9" t="s">
        <v>57</v>
      </c>
      <c r="B18" s="9" t="s">
        <v>58</v>
      </c>
      <c r="C18" s="18">
        <v>50</v>
      </c>
      <c r="D18" s="9" t="s">
        <v>51</v>
      </c>
      <c r="E18" s="9" t="s">
        <v>59</v>
      </c>
      <c r="F18" s="9" t="s">
        <v>53</v>
      </c>
    </row>
    <row r="19" spans="1:6">
      <c r="A19" s="9" t="s">
        <v>60</v>
      </c>
      <c r="B19" s="9" t="s">
        <v>61</v>
      </c>
      <c r="C19" s="18">
        <v>8</v>
      </c>
      <c r="D19" s="9" t="s">
        <v>62</v>
      </c>
      <c r="E19" s="9" t="s">
        <v>63</v>
      </c>
      <c r="F19" s="9" t="s">
        <v>53</v>
      </c>
    </row>
    <row r="20" spans="1:6">
      <c r="A20" s="9" t="s">
        <v>60</v>
      </c>
      <c r="B20" s="9" t="s">
        <v>64</v>
      </c>
      <c r="C20" s="18">
        <v>38</v>
      </c>
      <c r="D20" s="9" t="s">
        <v>14</v>
      </c>
      <c r="E20" s="9" t="s">
        <v>65</v>
      </c>
      <c r="F20" s="9" t="s">
        <v>25</v>
      </c>
    </row>
    <row r="21" spans="1:6">
      <c r="A21" s="9" t="s">
        <v>60</v>
      </c>
      <c r="B21" s="9" t="s">
        <v>66</v>
      </c>
      <c r="C21" s="18">
        <f>C19*C20</f>
        <v>304</v>
      </c>
      <c r="D21" s="9" t="s">
        <v>51</v>
      </c>
      <c r="E21" s="9" t="s">
        <v>67</v>
      </c>
      <c r="F21" s="9" t="s">
        <v>20</v>
      </c>
    </row>
    <row r="22" spans="1:6">
      <c r="A22" s="2" t="s">
        <v>68</v>
      </c>
      <c r="B22" s="2" t="s">
        <v>69</v>
      </c>
      <c r="C22" s="47">
        <f>SUM(C16:C18)+C21</f>
        <v>429</v>
      </c>
      <c r="D22" s="2" t="s">
        <v>51</v>
      </c>
      <c r="E22" s="2" t="s">
        <v>70</v>
      </c>
      <c r="F22" s="2" t="s">
        <v>20</v>
      </c>
    </row>
    <row r="24" ht="20.4" spans="1:1">
      <c r="A24" s="46" t="s">
        <v>71</v>
      </c>
    </row>
    <row r="25" spans="1:6">
      <c r="A25" s="5" t="s">
        <v>72</v>
      </c>
      <c r="B25" s="6" t="s">
        <v>73</v>
      </c>
      <c r="C25" s="6" t="s">
        <v>74</v>
      </c>
      <c r="D25" s="6" t="s">
        <v>75</v>
      </c>
      <c r="E25" s="6" t="s">
        <v>76</v>
      </c>
      <c r="F25" s="20" t="s">
        <v>77</v>
      </c>
    </row>
    <row r="26" spans="1:6">
      <c r="A26" s="7" t="s">
        <v>78</v>
      </c>
      <c r="B26" s="7" t="s">
        <v>79</v>
      </c>
      <c r="C26" s="18">
        <v>0.08</v>
      </c>
      <c r="D26" s="18">
        <v>0.16</v>
      </c>
      <c r="E26" s="48">
        <v>46284</v>
      </c>
      <c r="F26" s="7" t="s">
        <v>80</v>
      </c>
    </row>
    <row r="27" spans="1:6">
      <c r="A27" s="9" t="s">
        <v>81</v>
      </c>
      <c r="B27" s="9" t="s">
        <v>82</v>
      </c>
      <c r="C27" s="18">
        <v>1.5</v>
      </c>
      <c r="D27" s="18">
        <v>7.5</v>
      </c>
      <c r="E27" s="49">
        <v>46284</v>
      </c>
      <c r="F27" s="9" t="s">
        <v>83</v>
      </c>
    </row>
    <row r="28" spans="1:6">
      <c r="A28" s="9" t="s">
        <v>84</v>
      </c>
      <c r="B28" s="9" t="s">
        <v>85</v>
      </c>
      <c r="C28" s="18">
        <v>0.15</v>
      </c>
      <c r="D28" s="18">
        <v>0.6</v>
      </c>
      <c r="E28" s="49">
        <v>46284</v>
      </c>
      <c r="F28" s="9" t="s">
        <v>86</v>
      </c>
    </row>
    <row r="29" spans="1:6">
      <c r="A29" s="13" t="s">
        <v>87</v>
      </c>
      <c r="B29" s="13" t="s">
        <v>88</v>
      </c>
      <c r="C29" s="18">
        <v>0.15</v>
      </c>
      <c r="D29" s="18">
        <v>0.47</v>
      </c>
      <c r="E29" s="50">
        <v>46284</v>
      </c>
      <c r="F29" s="13" t="s">
        <v>89</v>
      </c>
    </row>
    <row r="31" ht="20.4" spans="1:1">
      <c r="A31" s="46" t="s">
        <v>90</v>
      </c>
    </row>
    <row r="32" spans="1:6">
      <c r="A32" s="5" t="s">
        <v>91</v>
      </c>
      <c r="B32" s="6" t="s">
        <v>92</v>
      </c>
      <c r="C32" s="6" t="s">
        <v>93</v>
      </c>
      <c r="D32" s="6" t="s">
        <v>94</v>
      </c>
      <c r="E32" s="6" t="s">
        <v>4</v>
      </c>
      <c r="F32" s="20" t="s">
        <v>95</v>
      </c>
    </row>
    <row r="33" spans="1:6">
      <c r="A33" s="7" t="s">
        <v>96</v>
      </c>
      <c r="B33" s="18">
        <v>33</v>
      </c>
      <c r="C33" s="18">
        <v>33</v>
      </c>
      <c r="D33" s="7">
        <f>C33-B33</f>
        <v>0</v>
      </c>
      <c r="E33" s="7" t="s">
        <v>97</v>
      </c>
      <c r="F33" s="7" t="s">
        <v>98</v>
      </c>
    </row>
    <row r="34" spans="1:6">
      <c r="A34" s="9" t="s">
        <v>99</v>
      </c>
      <c r="B34" s="18">
        <v>5</v>
      </c>
      <c r="C34" s="18">
        <v>3</v>
      </c>
      <c r="D34" s="32">
        <f t="shared" ref="D34:D37" si="0">(C34-B34)/B34</f>
        <v>-0.4</v>
      </c>
      <c r="E34" s="9" t="s">
        <v>28</v>
      </c>
      <c r="F34" s="9" t="s">
        <v>100</v>
      </c>
    </row>
    <row r="35" spans="1:6">
      <c r="A35" s="9" t="s">
        <v>101</v>
      </c>
      <c r="B35" s="18">
        <v>9</v>
      </c>
      <c r="C35" s="18">
        <v>5</v>
      </c>
      <c r="D35" s="32">
        <f t="shared" si="0"/>
        <v>-0.444444444444444</v>
      </c>
      <c r="E35" s="9" t="s">
        <v>28</v>
      </c>
      <c r="F35" s="9" t="s">
        <v>100</v>
      </c>
    </row>
    <row r="36" spans="1:6">
      <c r="A36" s="9" t="s">
        <v>102</v>
      </c>
      <c r="B36" s="18">
        <v>550849</v>
      </c>
      <c r="C36" s="18">
        <v>337806</v>
      </c>
      <c r="D36" s="32">
        <f t="shared" si="0"/>
        <v>-0.38675390170446</v>
      </c>
      <c r="E36" s="9" t="s">
        <v>103</v>
      </c>
      <c r="F36" s="9" t="s">
        <v>100</v>
      </c>
    </row>
    <row r="37" spans="1:6">
      <c r="A37" s="13" t="s">
        <v>104</v>
      </c>
      <c r="B37" s="18">
        <v>0.0653</v>
      </c>
      <c r="C37" s="18">
        <v>0.0402</v>
      </c>
      <c r="D37" s="33">
        <f t="shared" si="0"/>
        <v>-0.3843797856049</v>
      </c>
      <c r="E37" s="13" t="s">
        <v>105</v>
      </c>
      <c r="F37" s="13" t="s">
        <v>100</v>
      </c>
    </row>
    <row r="38" spans="5:5">
      <c r="E38" t="s">
        <v>106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"/>
  <sheetViews>
    <sheetView workbookViewId="0">
      <selection activeCell="A1" sqref="A1"/>
    </sheetView>
  </sheetViews>
  <sheetFormatPr defaultColWidth="9.23076923076923" defaultRowHeight="16.8"/>
  <cols>
    <col min="1" max="1" width="23.3942307692308" customWidth="1"/>
    <col min="2" max="2" width="28.3557692307692" customWidth="1"/>
    <col min="3" max="3" width="12.9711538461538" customWidth="1"/>
    <col min="4" max="4" width="10.8942307692308" customWidth="1"/>
    <col min="5" max="5" width="22.75" customWidth="1"/>
    <col min="6" max="6" width="18.2692307692308" customWidth="1"/>
    <col min="7" max="7" width="13.7692307692308" customWidth="1"/>
    <col min="8" max="8" width="25.6346153846154" customWidth="1"/>
    <col min="9" max="9" width="23.0769230769231" customWidth="1"/>
    <col min="10" max="10" width="19.7115384615385" customWidth="1"/>
    <col min="11" max="11" width="23.0673076923077" customWidth="1"/>
    <col min="12" max="12" width="25.1538461538462" customWidth="1"/>
    <col min="13" max="13" width="27.2403846153846" customWidth="1"/>
    <col min="14" max="14" width="23.3942307692308" customWidth="1"/>
    <col min="15" max="15" width="31.7211538461538" customWidth="1"/>
  </cols>
  <sheetData>
    <row r="1" ht="28.8" spans="1:1">
      <c r="A1" s="3" t="s">
        <v>107</v>
      </c>
    </row>
    <row r="2" ht="20" customHeight="1" spans="1:17">
      <c r="A2" s="5" t="s">
        <v>72</v>
      </c>
      <c r="B2" s="6" t="s">
        <v>108</v>
      </c>
      <c r="C2" s="6" t="s">
        <v>96</v>
      </c>
      <c r="D2" s="6" t="s">
        <v>109</v>
      </c>
      <c r="E2" s="6" t="s">
        <v>110</v>
      </c>
      <c r="F2" s="6" t="s">
        <v>99</v>
      </c>
      <c r="G2" s="6" t="s">
        <v>111</v>
      </c>
      <c r="H2" s="6" t="s">
        <v>102</v>
      </c>
      <c r="I2" s="6" t="s">
        <v>112</v>
      </c>
      <c r="J2" s="6" t="s">
        <v>113</v>
      </c>
      <c r="K2" s="6" t="s">
        <v>114</v>
      </c>
      <c r="L2" s="6" t="s">
        <v>115</v>
      </c>
      <c r="M2" s="6" t="s">
        <v>116</v>
      </c>
      <c r="N2" s="6" t="s">
        <v>117</v>
      </c>
      <c r="O2" s="20" t="s">
        <v>118</v>
      </c>
      <c r="P2" s="2"/>
      <c r="Q2" s="21" t="s">
        <v>119</v>
      </c>
    </row>
    <row r="3" spans="1:17">
      <c r="A3" s="7" t="s">
        <v>78</v>
      </c>
      <c r="B3" s="7" t="s">
        <v>79</v>
      </c>
      <c r="C3" s="7">
        <v>58</v>
      </c>
      <c r="D3" s="7">
        <v>34</v>
      </c>
      <c r="E3" s="31">
        <f>D3/C3</f>
        <v>0.586206896551724</v>
      </c>
      <c r="F3" s="7">
        <v>3</v>
      </c>
      <c r="G3" s="7">
        <v>180</v>
      </c>
      <c r="H3" s="40">
        <v>477579</v>
      </c>
      <c r="I3" s="40">
        <v>22615</v>
      </c>
      <c r="J3" s="40">
        <f>H3/C3</f>
        <v>8234.12068965517</v>
      </c>
      <c r="K3" s="40">
        <f>I3/C3</f>
        <v>389.913793103448</v>
      </c>
      <c r="L3" s="43">
        <v>0.056806</v>
      </c>
      <c r="M3" s="7">
        <v>12</v>
      </c>
      <c r="N3" s="31">
        <f>M3/38</f>
        <v>0.315789473684211</v>
      </c>
      <c r="O3" s="7">
        <v>0</v>
      </c>
      <c r="P3" s="2"/>
      <c r="Q3" s="22" t="s">
        <v>120</v>
      </c>
    </row>
    <row r="4" spans="1:17">
      <c r="A4" s="9" t="s">
        <v>81</v>
      </c>
      <c r="B4" s="9" t="s">
        <v>82</v>
      </c>
      <c r="C4" s="9">
        <v>58</v>
      </c>
      <c r="D4" s="9">
        <v>31</v>
      </c>
      <c r="E4" s="32">
        <f>D4/C4</f>
        <v>0.53448275862069</v>
      </c>
      <c r="F4" s="9">
        <v>3</v>
      </c>
      <c r="G4" s="9">
        <v>174</v>
      </c>
      <c r="H4" s="41">
        <v>435564</v>
      </c>
      <c r="I4" s="41">
        <v>26418</v>
      </c>
      <c r="J4" s="41">
        <f>H4/C4</f>
        <v>7509.72413793103</v>
      </c>
      <c r="K4" s="41">
        <f>I4/C4</f>
        <v>455.48275862069</v>
      </c>
      <c r="L4" s="44">
        <v>0.054121</v>
      </c>
      <c r="M4" s="9">
        <v>15</v>
      </c>
      <c r="N4" s="32">
        <f>M4/38</f>
        <v>0.394736842105263</v>
      </c>
      <c r="O4" s="9">
        <v>0</v>
      </c>
      <c r="P4" s="2"/>
      <c r="Q4" s="22" t="s">
        <v>121</v>
      </c>
    </row>
    <row r="5" spans="1:17">
      <c r="A5" s="9" t="s">
        <v>84</v>
      </c>
      <c r="B5" s="9" t="s">
        <v>85</v>
      </c>
      <c r="C5" s="9">
        <v>58</v>
      </c>
      <c r="D5" s="9">
        <v>34</v>
      </c>
      <c r="E5" s="32">
        <f>D5/C5</f>
        <v>0.586206896551724</v>
      </c>
      <c r="F5" s="9">
        <v>3</v>
      </c>
      <c r="G5" s="9">
        <v>198</v>
      </c>
      <c r="H5" s="41">
        <v>450150</v>
      </c>
      <c r="I5" s="41">
        <v>11997</v>
      </c>
      <c r="J5" s="41">
        <f>H5/C5</f>
        <v>7761.20689655172</v>
      </c>
      <c r="K5" s="41">
        <f>I5/C5</f>
        <v>206.844827586207</v>
      </c>
      <c r="L5" s="44">
        <v>0.049816</v>
      </c>
      <c r="M5" s="9">
        <v>17</v>
      </c>
      <c r="N5" s="32">
        <f>M5/38</f>
        <v>0.447368421052632</v>
      </c>
      <c r="O5" s="9">
        <v>2</v>
      </c>
      <c r="P5" s="2"/>
      <c r="Q5" s="22" t="s">
        <v>122</v>
      </c>
    </row>
    <row r="6" spans="1:17">
      <c r="A6" s="13" t="s">
        <v>87</v>
      </c>
      <c r="B6" s="13" t="s">
        <v>88</v>
      </c>
      <c r="C6" s="13">
        <v>58</v>
      </c>
      <c r="D6" s="13">
        <v>29</v>
      </c>
      <c r="E6" s="33">
        <f>D6/C6</f>
        <v>0.5</v>
      </c>
      <c r="F6" s="13">
        <v>3</v>
      </c>
      <c r="G6" s="13">
        <v>190</v>
      </c>
      <c r="H6" s="42">
        <v>499950</v>
      </c>
      <c r="I6" s="42">
        <v>115822</v>
      </c>
      <c r="J6" s="42">
        <f>H6/C6</f>
        <v>8619.8275862069</v>
      </c>
      <c r="K6" s="42">
        <f>I6/C6</f>
        <v>1996.93103448276</v>
      </c>
      <c r="L6" s="45">
        <v>0.096321</v>
      </c>
      <c r="M6" s="13">
        <v>26</v>
      </c>
      <c r="N6" s="33">
        <f>M6/38</f>
        <v>0.684210526315789</v>
      </c>
      <c r="O6" s="13">
        <v>0</v>
      </c>
      <c r="P6" s="2"/>
      <c r="Q6" s="22" t="s">
        <v>123</v>
      </c>
    </row>
    <row r="7" spans="1:8">
      <c r="A7" s="15" t="s">
        <v>124</v>
      </c>
      <c r="B7" s="9" t="s">
        <v>125</v>
      </c>
      <c r="C7" s="9"/>
      <c r="D7" s="9"/>
      <c r="E7" s="9"/>
      <c r="F7" s="9"/>
      <c r="G7" s="9"/>
      <c r="H7" s="9"/>
    </row>
    <row r="8" spans="1:8">
      <c r="A8" s="15" t="s">
        <v>126</v>
      </c>
      <c r="B8" s="9" t="s">
        <v>127</v>
      </c>
      <c r="C8" s="9"/>
      <c r="D8" s="9"/>
      <c r="E8" s="9"/>
      <c r="F8" s="9"/>
      <c r="G8" s="9"/>
      <c r="H8" s="9"/>
    </row>
    <row r="9" spans="1:8">
      <c r="A9" s="15" t="s">
        <v>128</v>
      </c>
      <c r="B9" s="9" t="s">
        <v>129</v>
      </c>
      <c r="C9" s="9"/>
      <c r="D9" s="9"/>
      <c r="E9" s="9"/>
      <c r="F9" s="9"/>
      <c r="G9" s="9"/>
      <c r="H9" s="9"/>
    </row>
    <row r="10" spans="1:7">
      <c r="A10" s="2"/>
      <c r="B10" s="2"/>
      <c r="C10" s="2"/>
      <c r="D10" s="2"/>
      <c r="E10" s="2"/>
      <c r="F10" s="2"/>
      <c r="G10" s="2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showGridLines="0" workbookViewId="0">
      <pane xSplit="1" ySplit="4" topLeftCell="B5" activePane="bottomRight" state="frozen"/>
      <selection/>
      <selection pane="topRight"/>
      <selection pane="bottomLeft"/>
      <selection pane="bottomRight" activeCell="A2" sqref="A2"/>
    </sheetView>
  </sheetViews>
  <sheetFormatPr defaultColWidth="11.7692307692308" defaultRowHeight="16.8"/>
  <cols>
    <col min="1" max="1" width="28.7692307692308" style="1" customWidth="1"/>
    <col min="2" max="18" width="19.6153846153846" style="1" customWidth="1"/>
    <col min="19" max="16384" width="11.7692307692308" style="1"/>
  </cols>
  <sheetData>
    <row r="1" ht="15" customHeight="1" spans="1:26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Height="1" spans="1:26">
      <c r="A2" s="3" t="s">
        <v>130</v>
      </c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" customHeight="1" spans="1:26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0" customHeight="1" spans="1:26">
      <c r="A4" s="5" t="s">
        <v>72</v>
      </c>
      <c r="B4" s="6" t="s">
        <v>131</v>
      </c>
      <c r="C4" s="5" t="s">
        <v>132</v>
      </c>
      <c r="D4" s="6" t="s">
        <v>133</v>
      </c>
      <c r="E4" s="5" t="s">
        <v>134</v>
      </c>
      <c r="F4" s="6" t="s">
        <v>135</v>
      </c>
      <c r="G4" s="5" t="s">
        <v>136</v>
      </c>
      <c r="H4" s="6" t="s">
        <v>137</v>
      </c>
      <c r="I4" s="5" t="s">
        <v>138</v>
      </c>
      <c r="J4" s="6" t="s">
        <v>139</v>
      </c>
      <c r="K4" s="5" t="s">
        <v>140</v>
      </c>
      <c r="L4" s="6" t="s">
        <v>141</v>
      </c>
      <c r="M4" s="5" t="s">
        <v>142</v>
      </c>
      <c r="N4" s="6" t="s">
        <v>143</v>
      </c>
      <c r="O4" s="5" t="s">
        <v>144</v>
      </c>
      <c r="P4" s="6" t="s">
        <v>145</v>
      </c>
      <c r="Q4" s="5" t="s">
        <v>146</v>
      </c>
      <c r="R4" s="6" t="s">
        <v>147</v>
      </c>
      <c r="S4" s="2"/>
      <c r="T4" s="2"/>
      <c r="U4" s="2"/>
      <c r="V4" s="2"/>
      <c r="W4" s="2"/>
      <c r="X4" s="2"/>
      <c r="Y4" s="2"/>
      <c r="Z4" s="2"/>
    </row>
    <row r="5" ht="15" customHeight="1" spans="1:26">
      <c r="A5" s="9" t="str">
        <f>'[1]Model Results'!A5</f>
        <v>Gemma 3 27B</v>
      </c>
      <c r="B5" s="9">
        <f>'[1]Model Results'!E5</f>
        <v>0.586206896551724</v>
      </c>
      <c r="C5" s="9">
        <f>'[1]Model Results'!J5</f>
        <v>8234.12068965517</v>
      </c>
      <c r="D5" s="9">
        <f>'[1]Model Results'!K5</f>
        <v>389.913793103448</v>
      </c>
      <c r="E5" s="9">
        <f>[1]Inputs!C28</f>
        <v>0.08</v>
      </c>
      <c r="F5" s="9">
        <f>[1]Inputs!D28</f>
        <v>0.16</v>
      </c>
      <c r="G5" s="9">
        <f>C5*E5/1000000</f>
        <v>0.000658729655172414</v>
      </c>
      <c r="H5" s="9">
        <f>D5*F5/1000000</f>
        <v>6.23862068965517e-5</v>
      </c>
      <c r="I5" s="9">
        <f>[1]Inputs!C9</f>
        <v>0</v>
      </c>
      <c r="J5" s="9">
        <f>SUM(G5:I5)</f>
        <v>0.000721115862068965</v>
      </c>
      <c r="K5" s="9">
        <f>(1-B5)*[1]Inputs!C8</f>
        <v>3.1448275862069</v>
      </c>
      <c r="L5" s="9">
        <f>[1]Inputs!C24/[1]Inputs!C5</f>
        <v>0.053625</v>
      </c>
      <c r="M5" s="9">
        <f>SUM(J5:L5)</f>
        <v>3.19917370206897</v>
      </c>
      <c r="N5" s="9">
        <f>J5/B5</f>
        <v>0.00123013882352941</v>
      </c>
      <c r="O5" s="9">
        <f>J5*[1]Inputs!C5</f>
        <v>5.76892689655172</v>
      </c>
      <c r="P5" s="9">
        <f>K5*[1]Inputs!C5</f>
        <v>25158.6206896552</v>
      </c>
      <c r="Q5" s="9">
        <f>[1]Inputs!C24</f>
        <v>429</v>
      </c>
      <c r="R5" s="9">
        <f>SUM(O5:Q5)</f>
        <v>25593.3896165517</v>
      </c>
      <c r="S5" s="2"/>
      <c r="T5" s="2"/>
      <c r="U5" s="2"/>
      <c r="V5" s="2"/>
      <c r="W5" s="2"/>
      <c r="X5" s="2"/>
      <c r="Y5" s="2"/>
      <c r="Z5" s="2"/>
    </row>
    <row r="6" ht="15" customHeight="1" spans="1:26">
      <c r="A6" s="13" t="str">
        <f>'[1]Model Results'!A6</f>
        <v>Mistral Medium 3.5</v>
      </c>
      <c r="B6" s="13">
        <f>'[1]Model Results'!E6</f>
        <v>0.53448275862069</v>
      </c>
      <c r="C6" s="13">
        <f>'[1]Model Results'!J6</f>
        <v>7509.72413793103</v>
      </c>
      <c r="D6" s="13">
        <f>'[1]Model Results'!K6</f>
        <v>455.48275862069</v>
      </c>
      <c r="E6" s="13">
        <f>[1]Inputs!C29</f>
        <v>1.5</v>
      </c>
      <c r="F6" s="13">
        <f>[1]Inputs!D29</f>
        <v>7.5</v>
      </c>
      <c r="G6" s="13">
        <f>C6*E6/1000000</f>
        <v>0.0112645862068965</v>
      </c>
      <c r="H6" s="13">
        <f>D6*F6/1000000</f>
        <v>0.00341612068965517</v>
      </c>
      <c r="I6" s="13">
        <f>[1]Inputs!C9</f>
        <v>0</v>
      </c>
      <c r="J6" s="13">
        <f>SUM(G6:I6)</f>
        <v>0.0146807068965517</v>
      </c>
      <c r="K6" s="13">
        <f>(1-B6)*[1]Inputs!C8</f>
        <v>3.53793103448276</v>
      </c>
      <c r="L6" s="13">
        <f>[1]Inputs!C24/[1]Inputs!C5</f>
        <v>0.053625</v>
      </c>
      <c r="M6" s="13">
        <f>SUM(J6:L6)</f>
        <v>3.60623674137931</v>
      </c>
      <c r="N6" s="13">
        <f>J6/B6</f>
        <v>0.027467129032258</v>
      </c>
      <c r="O6" s="13">
        <f>J6*[1]Inputs!C5</f>
        <v>117.445655172414</v>
      </c>
      <c r="P6" s="13">
        <f>K6*[1]Inputs!C5</f>
        <v>28303.4482758621</v>
      </c>
      <c r="Q6" s="13">
        <f>[1]Inputs!C24</f>
        <v>429</v>
      </c>
      <c r="R6" s="13">
        <f>SUM(O6:Q6)</f>
        <v>28849.8939310345</v>
      </c>
      <c r="S6" s="2"/>
      <c r="T6" s="2"/>
      <c r="U6" s="2"/>
      <c r="V6" s="2"/>
      <c r="W6" s="2"/>
      <c r="X6" s="2"/>
      <c r="Y6" s="2"/>
      <c r="Z6" s="2"/>
    </row>
    <row r="7" ht="15" customHeight="1" spans="1:26">
      <c r="A7" s="9" t="str">
        <f>'[1]Model Results'!A7</f>
        <v>GPT-4o-mini</v>
      </c>
      <c r="B7" s="9">
        <f>'[1]Model Results'!E7</f>
        <v>0.586206896551724</v>
      </c>
      <c r="C7" s="9">
        <f>'[1]Model Results'!J7</f>
        <v>7761.20689655172</v>
      </c>
      <c r="D7" s="9">
        <f>'[1]Model Results'!K7</f>
        <v>206.844827586207</v>
      </c>
      <c r="E7" s="9">
        <f>[1]Inputs!C30</f>
        <v>0.15</v>
      </c>
      <c r="F7" s="9">
        <f>[1]Inputs!D30</f>
        <v>0.6</v>
      </c>
      <c r="G7" s="9">
        <f>C7*E7/1000000</f>
        <v>0.00116418103448276</v>
      </c>
      <c r="H7" s="9">
        <f>D7*F7/1000000</f>
        <v>0.000124106896551724</v>
      </c>
      <c r="I7" s="9">
        <f>[1]Inputs!C9</f>
        <v>0</v>
      </c>
      <c r="J7" s="9">
        <f>SUM(G7:I7)</f>
        <v>0.00128828793103448</v>
      </c>
      <c r="K7" s="9">
        <f>(1-B7)*[1]Inputs!C8</f>
        <v>3.1448275862069</v>
      </c>
      <c r="L7" s="9">
        <f>[1]Inputs!C24/[1]Inputs!C5</f>
        <v>0.053625</v>
      </c>
      <c r="M7" s="9">
        <f>SUM(J7:L7)</f>
        <v>3.19974087413793</v>
      </c>
      <c r="N7" s="9">
        <f>J7/B7</f>
        <v>0.00219766764705882</v>
      </c>
      <c r="O7" s="9">
        <f>J7*[1]Inputs!C5</f>
        <v>10.3063034482759</v>
      </c>
      <c r="P7" s="9">
        <f>K7*[1]Inputs!C5</f>
        <v>25158.6206896552</v>
      </c>
      <c r="Q7" s="9">
        <f>[1]Inputs!C24</f>
        <v>429</v>
      </c>
      <c r="R7" s="9">
        <f>SUM(O7:Q7)</f>
        <v>25597.9269931035</v>
      </c>
      <c r="S7" s="2"/>
      <c r="T7" s="2"/>
      <c r="U7" s="2"/>
      <c r="V7" s="2"/>
      <c r="W7" s="2"/>
      <c r="X7" s="2"/>
      <c r="Y7" s="2"/>
      <c r="Z7" s="2"/>
    </row>
    <row r="8" ht="15" customHeight="1" spans="1:26">
      <c r="A8" s="9" t="str">
        <f>'[1]Model Results'!A8</f>
        <v>Qwen3.8 Flash</v>
      </c>
      <c r="B8" s="9">
        <f>'[1]Model Results'!E8</f>
        <v>0.5</v>
      </c>
      <c r="C8" s="9">
        <f>'[1]Model Results'!J8</f>
        <v>8619.8275862069</v>
      </c>
      <c r="D8" s="9">
        <f>'[1]Model Results'!K8</f>
        <v>1996.93103448276</v>
      </c>
      <c r="E8" s="9">
        <f>[1]Inputs!C31</f>
        <v>0.15</v>
      </c>
      <c r="F8" s="9">
        <f>[1]Inputs!D31</f>
        <v>0.47</v>
      </c>
      <c r="G8" s="9">
        <f>C8*E8/1000000</f>
        <v>0.00129297413793104</v>
      </c>
      <c r="H8" s="9">
        <f>D8*F8/1000000</f>
        <v>0.000938557586206897</v>
      </c>
      <c r="I8" s="9">
        <f>[1]Inputs!C9</f>
        <v>0</v>
      </c>
      <c r="J8" s="9">
        <f>SUM(G8:I8)</f>
        <v>0.00223153172413793</v>
      </c>
      <c r="K8" s="9">
        <f>(1-B8)*[1]Inputs!C8</f>
        <v>3.8</v>
      </c>
      <c r="L8" s="9">
        <f>[1]Inputs!C24/[1]Inputs!C5</f>
        <v>0.053625</v>
      </c>
      <c r="M8" s="9">
        <f>SUM(J8:L8)</f>
        <v>3.85585653172414</v>
      </c>
      <c r="N8" s="9">
        <f>J8/B8</f>
        <v>0.00446306344827586</v>
      </c>
      <c r="O8" s="9">
        <f>J8*[1]Inputs!C5</f>
        <v>17.8522537931035</v>
      </c>
      <c r="P8" s="9">
        <f>K8*[1]Inputs!C5</f>
        <v>30400</v>
      </c>
      <c r="Q8" s="9">
        <f>[1]Inputs!C24</f>
        <v>429</v>
      </c>
      <c r="R8" s="9">
        <f>SUM(O8:Q8)</f>
        <v>30846.8522537931</v>
      </c>
      <c r="S8" s="2"/>
      <c r="T8" s="2"/>
      <c r="U8" s="2"/>
      <c r="V8" s="2"/>
      <c r="W8" s="2"/>
      <c r="X8" s="2"/>
      <c r="Y8" s="2"/>
      <c r="Z8" s="2"/>
    </row>
    <row r="9" ht="15" customHeight="1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" customHeight="1" spans="1:26">
      <c r="A10" s="15" t="s">
        <v>148</v>
      </c>
      <c r="B10" s="16" t="s">
        <v>149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2"/>
      <c r="T10" s="2"/>
      <c r="U10" s="2"/>
      <c r="V10" s="2"/>
      <c r="W10" s="2"/>
      <c r="X10" s="2"/>
      <c r="Y10" s="2"/>
      <c r="Z10" s="2"/>
    </row>
    <row r="11" ht="15" customHeight="1" spans="1:26">
      <c r="A11" s="15" t="s">
        <v>150</v>
      </c>
      <c r="B11" s="16" t="s">
        <v>151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2"/>
      <c r="T11" s="2"/>
      <c r="U11" s="2"/>
      <c r="V11" s="2"/>
      <c r="W11" s="2"/>
      <c r="X11" s="2"/>
      <c r="Y11" s="2"/>
      <c r="Z11" s="2"/>
    </row>
    <row r="12" ht="15" customHeight="1" spans="1:26">
      <c r="A12" s="15" t="s">
        <v>152</v>
      </c>
      <c r="B12" s="16" t="s">
        <v>153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2"/>
      <c r="T12" s="2"/>
      <c r="U12" s="2"/>
      <c r="V12" s="2"/>
      <c r="W12" s="2"/>
      <c r="X12" s="2"/>
      <c r="Y12" s="2"/>
      <c r="Z12" s="2"/>
    </row>
    <row r="13" ht="15" customHeight="1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" customHeight="1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" customHeight="1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" customHeight="1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" customHeight="1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" customHeight="1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" customHeight="1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" customHeight="1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" customHeight="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" customHeight="1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" customHeight="1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" customHeight="1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" customHeight="1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" customHeight="1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" customHeight="1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" customHeight="1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" customHeight="1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" customHeight="1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" customHeight="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" customHeight="1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" customHeight="1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" customHeight="1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" customHeight="1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" customHeight="1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" customHeight="1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" customHeight="1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" customHeight="1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" customHeight="1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" customHeight="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" customHeight="1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" customHeight="1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" customHeight="1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" customHeight="1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" customHeight="1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" customHeight="1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" customHeight="1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" customHeight="1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" customHeight="1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" customHeight="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" customHeight="1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" customHeight="1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" customHeight="1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" customHeight="1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" customHeight="1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" customHeight="1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" customHeight="1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" customHeight="1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" customHeight="1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" customHeight="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" customHeight="1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" customHeight="1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" customHeight="1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" customHeight="1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" customHeight="1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" customHeight="1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" customHeight="1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" customHeight="1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" customHeight="1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" customHeight="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" customHeight="1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" customHeight="1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" customHeight="1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" customHeight="1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" customHeight="1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" customHeight="1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" customHeight="1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" customHeight="1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" customHeight="1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showGridLines="0" workbookViewId="0">
      <pane xSplit="2" ySplit="4" topLeftCell="C5" activePane="bottomRight" state="frozen"/>
      <selection/>
      <selection pane="topRight"/>
      <selection pane="bottomLeft"/>
      <selection pane="bottomRight" activeCell="A2" sqref="A2"/>
    </sheetView>
  </sheetViews>
  <sheetFormatPr defaultColWidth="11.7692307692308" defaultRowHeight="16.8"/>
  <cols>
    <col min="1" max="1" width="28.7692307692308" style="1" customWidth="1"/>
    <col min="2" max="2" width="23.5384615384615" style="1" customWidth="1"/>
    <col min="3" max="10" width="20.9230769230769" style="1" customWidth="1"/>
    <col min="11" max="16384" width="11.7692307692308" style="1"/>
  </cols>
  <sheetData>
    <row r="1" ht="15" customHeight="1" spans="1:26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Height="1" spans="1:26">
      <c r="A2" s="3" t="s">
        <v>154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" customHeight="1" spans="1:26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0" customHeight="1" spans="1:26">
      <c r="A4" s="5" t="s">
        <v>72</v>
      </c>
      <c r="B4" s="6" t="s">
        <v>155</v>
      </c>
      <c r="C4" s="6" t="s">
        <v>94</v>
      </c>
      <c r="D4" s="6" t="s">
        <v>156</v>
      </c>
      <c r="E4" s="6" t="s">
        <v>157</v>
      </c>
      <c r="F4" s="6" t="s">
        <v>158</v>
      </c>
      <c r="G4" s="6" t="s">
        <v>159</v>
      </c>
      <c r="H4" s="6" t="s">
        <v>160</v>
      </c>
      <c r="I4" s="6" t="s">
        <v>161</v>
      </c>
      <c r="J4" s="20" t="s">
        <v>147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" customHeight="1" spans="1:26">
      <c r="A5" s="7" t="str">
        <f>'Cost Model'!A5</f>
        <v>Gemma 3 27B</v>
      </c>
      <c r="B5" s="7" t="s">
        <v>162</v>
      </c>
      <c r="C5" s="31">
        <v>-0.1</v>
      </c>
      <c r="D5" s="31">
        <f>'Cost Model'!B5</f>
        <v>0.586206896551724</v>
      </c>
      <c r="E5" s="31">
        <f t="shared" ref="E5:E24" si="0">MAX(0,MIN(1,D5+C5))</f>
        <v>0.486206896551724</v>
      </c>
      <c r="F5" s="34">
        <f>'Cost Model'!J5</f>
        <v>0.000721115862068965</v>
      </c>
      <c r="G5" s="34">
        <f>(1-E5)*[1]Inputs!C8</f>
        <v>3.9048275862069</v>
      </c>
      <c r="H5" s="34">
        <f>'Cost Model'!L5</f>
        <v>0.053625</v>
      </c>
      <c r="I5" s="34">
        <f t="shared" ref="I5:I24" si="1">SUM(F5:H5)</f>
        <v>3.95917370206897</v>
      </c>
      <c r="J5" s="37">
        <f>I5*[1]Inputs!C5</f>
        <v>31673.3896165517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" customHeight="1" spans="1:26">
      <c r="A6" s="9" t="str">
        <f>'Cost Model'!A5</f>
        <v>Gemma 3 27B</v>
      </c>
      <c r="B6" s="9" t="s">
        <v>163</v>
      </c>
      <c r="C6" s="32">
        <v>-0.05</v>
      </c>
      <c r="D6" s="32">
        <f>'Cost Model'!B5</f>
        <v>0.586206896551724</v>
      </c>
      <c r="E6" s="32">
        <f t="shared" si="0"/>
        <v>0.536206896551724</v>
      </c>
      <c r="F6" s="35">
        <f>'Cost Model'!J5</f>
        <v>0.000721115862068965</v>
      </c>
      <c r="G6" s="35">
        <f>(1-E6)*[1]Inputs!C8</f>
        <v>3.5248275862069</v>
      </c>
      <c r="H6" s="35">
        <f>'Cost Model'!L5</f>
        <v>0.053625</v>
      </c>
      <c r="I6" s="35">
        <f t="shared" si="1"/>
        <v>3.57917370206897</v>
      </c>
      <c r="J6" s="38">
        <f>I6*[1]Inputs!C5</f>
        <v>28633.3896165517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" customHeight="1" spans="1:26">
      <c r="A7" s="9" t="str">
        <f>'Cost Model'!A5</f>
        <v>Gemma 3 27B</v>
      </c>
      <c r="B7" s="9" t="s">
        <v>164</v>
      </c>
      <c r="C7" s="32">
        <v>0</v>
      </c>
      <c r="D7" s="32">
        <f>'Cost Model'!B5</f>
        <v>0.586206896551724</v>
      </c>
      <c r="E7" s="32">
        <f t="shared" si="0"/>
        <v>0.586206896551724</v>
      </c>
      <c r="F7" s="35">
        <f>'Cost Model'!J5</f>
        <v>0.000721115862068965</v>
      </c>
      <c r="G7" s="35">
        <f>(1-E7)*[1]Inputs!C8</f>
        <v>3.1448275862069</v>
      </c>
      <c r="H7" s="35">
        <f>'Cost Model'!L5</f>
        <v>0.053625</v>
      </c>
      <c r="I7" s="35">
        <f t="shared" si="1"/>
        <v>3.19917370206897</v>
      </c>
      <c r="J7" s="38">
        <f>I7*[1]Inputs!C5</f>
        <v>25593.3896165517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" customHeight="1" spans="1:26">
      <c r="A8" s="7" t="str">
        <f>'Cost Model'!A5</f>
        <v>Gemma 3 27B</v>
      </c>
      <c r="B8" s="9" t="s">
        <v>165</v>
      </c>
      <c r="C8" s="32">
        <v>0.05</v>
      </c>
      <c r="D8" s="32">
        <f>'Cost Model'!B5</f>
        <v>0.586206896551724</v>
      </c>
      <c r="E8" s="32">
        <f t="shared" si="0"/>
        <v>0.636206896551724</v>
      </c>
      <c r="F8" s="35">
        <f>'Cost Model'!J5</f>
        <v>0.000721115862068965</v>
      </c>
      <c r="G8" s="35">
        <f>(1-E8)*[1]Inputs!C8</f>
        <v>2.7648275862069</v>
      </c>
      <c r="H8" s="35">
        <f>'Cost Model'!L5</f>
        <v>0.053625</v>
      </c>
      <c r="I8" s="35">
        <f t="shared" si="1"/>
        <v>2.81917370206897</v>
      </c>
      <c r="J8" s="38">
        <f>I8*[1]Inputs!C5</f>
        <v>22553.3896165517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" customHeight="1" spans="1:26">
      <c r="A9" s="9" t="str">
        <f>'Cost Model'!A5</f>
        <v>Gemma 3 27B</v>
      </c>
      <c r="B9" s="9" t="s">
        <v>166</v>
      </c>
      <c r="C9" s="32">
        <v>0.1</v>
      </c>
      <c r="D9" s="32">
        <f>'Cost Model'!B5</f>
        <v>0.586206896551724</v>
      </c>
      <c r="E9" s="32">
        <f t="shared" si="0"/>
        <v>0.686206896551724</v>
      </c>
      <c r="F9" s="35">
        <f>'Cost Model'!J5</f>
        <v>0.000721115862068965</v>
      </c>
      <c r="G9" s="35">
        <f>(1-E9)*[1]Inputs!C8</f>
        <v>2.3848275862069</v>
      </c>
      <c r="H9" s="35">
        <f>'Cost Model'!L5</f>
        <v>0.053625</v>
      </c>
      <c r="I9" s="35">
        <f t="shared" si="1"/>
        <v>2.43917370206897</v>
      </c>
      <c r="J9" s="38">
        <f>I9*[1]Inputs!C5</f>
        <v>19513.3896165517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" customHeight="1" spans="1:26">
      <c r="A10" s="9" t="str">
        <f>'Cost Model'!A6</f>
        <v>Mistral Medium 3.5</v>
      </c>
      <c r="B10" s="9" t="s">
        <v>162</v>
      </c>
      <c r="C10" s="32">
        <v>-0.1</v>
      </c>
      <c r="D10" s="32">
        <f>'Cost Model'!B6</f>
        <v>0.53448275862069</v>
      </c>
      <c r="E10" s="32">
        <f t="shared" si="0"/>
        <v>0.43448275862069</v>
      </c>
      <c r="F10" s="35">
        <f>'Cost Model'!J6</f>
        <v>0.0146807068965517</v>
      </c>
      <c r="G10" s="35">
        <f>(1-E10)*[1]Inputs!C8</f>
        <v>4.29793103448276</v>
      </c>
      <c r="H10" s="35">
        <f>'Cost Model'!L6</f>
        <v>0.053625</v>
      </c>
      <c r="I10" s="35">
        <f t="shared" si="1"/>
        <v>4.36623674137931</v>
      </c>
      <c r="J10" s="38">
        <f>I10*[1]Inputs!C5</f>
        <v>34929.8939310345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" customHeight="1" spans="1:26">
      <c r="A11" s="7" t="str">
        <f>'Cost Model'!A6</f>
        <v>Mistral Medium 3.5</v>
      </c>
      <c r="B11" s="9" t="s">
        <v>163</v>
      </c>
      <c r="C11" s="32">
        <v>-0.05</v>
      </c>
      <c r="D11" s="32">
        <f>'Cost Model'!B6</f>
        <v>0.53448275862069</v>
      </c>
      <c r="E11" s="32">
        <f t="shared" si="0"/>
        <v>0.48448275862069</v>
      </c>
      <c r="F11" s="35">
        <f>'Cost Model'!J6</f>
        <v>0.0146807068965517</v>
      </c>
      <c r="G11" s="35">
        <f>(1-E11)*[1]Inputs!C8</f>
        <v>3.91793103448276</v>
      </c>
      <c r="H11" s="35">
        <f>'Cost Model'!L6</f>
        <v>0.053625</v>
      </c>
      <c r="I11" s="35">
        <f t="shared" si="1"/>
        <v>3.98623674137931</v>
      </c>
      <c r="J11" s="38">
        <f>I11*[1]Inputs!C5</f>
        <v>31889.8939310345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" customHeight="1" spans="1:26">
      <c r="A12" s="9" t="str">
        <f>'Cost Model'!A6</f>
        <v>Mistral Medium 3.5</v>
      </c>
      <c r="B12" s="9" t="s">
        <v>164</v>
      </c>
      <c r="C12" s="32">
        <v>0</v>
      </c>
      <c r="D12" s="32">
        <f>'Cost Model'!B6</f>
        <v>0.53448275862069</v>
      </c>
      <c r="E12" s="32">
        <f t="shared" si="0"/>
        <v>0.53448275862069</v>
      </c>
      <c r="F12" s="35">
        <f>'Cost Model'!J6</f>
        <v>0.0146807068965517</v>
      </c>
      <c r="G12" s="35">
        <f>(1-E12)*[1]Inputs!C8</f>
        <v>3.53793103448276</v>
      </c>
      <c r="H12" s="35">
        <f>'Cost Model'!L6</f>
        <v>0.053625</v>
      </c>
      <c r="I12" s="35">
        <f t="shared" si="1"/>
        <v>3.60623674137931</v>
      </c>
      <c r="J12" s="38">
        <f>I12*[1]Inputs!C5</f>
        <v>28849.8939310345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" customHeight="1" spans="1:26">
      <c r="A13" s="9" t="str">
        <f>'Cost Model'!A6</f>
        <v>Mistral Medium 3.5</v>
      </c>
      <c r="B13" s="9" t="s">
        <v>165</v>
      </c>
      <c r="C13" s="32">
        <v>0.05</v>
      </c>
      <c r="D13" s="32">
        <f>'Cost Model'!B6</f>
        <v>0.53448275862069</v>
      </c>
      <c r="E13" s="32">
        <f t="shared" si="0"/>
        <v>0.58448275862069</v>
      </c>
      <c r="F13" s="35">
        <f>'Cost Model'!J6</f>
        <v>0.0146807068965517</v>
      </c>
      <c r="G13" s="35">
        <f>(1-E13)*[1]Inputs!C8</f>
        <v>3.15793103448276</v>
      </c>
      <c r="H13" s="35">
        <f>'Cost Model'!L6</f>
        <v>0.053625</v>
      </c>
      <c r="I13" s="35">
        <f t="shared" si="1"/>
        <v>3.22623674137931</v>
      </c>
      <c r="J13" s="38">
        <f>I13*[1]Inputs!C5</f>
        <v>25809.8939310345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" customHeight="1" spans="1:26">
      <c r="A14" s="7" t="str">
        <f>'Cost Model'!A6</f>
        <v>Mistral Medium 3.5</v>
      </c>
      <c r="B14" s="9" t="s">
        <v>166</v>
      </c>
      <c r="C14" s="32">
        <v>0.1</v>
      </c>
      <c r="D14" s="32">
        <f>'Cost Model'!B6</f>
        <v>0.53448275862069</v>
      </c>
      <c r="E14" s="32">
        <f t="shared" si="0"/>
        <v>0.63448275862069</v>
      </c>
      <c r="F14" s="35">
        <f>'Cost Model'!J6</f>
        <v>0.0146807068965517</v>
      </c>
      <c r="G14" s="35">
        <f>(1-E14)*[1]Inputs!C8</f>
        <v>2.77793103448276</v>
      </c>
      <c r="H14" s="35">
        <f>'Cost Model'!L6</f>
        <v>0.053625</v>
      </c>
      <c r="I14" s="35">
        <f t="shared" si="1"/>
        <v>2.84623674137931</v>
      </c>
      <c r="J14" s="38">
        <f>I14*[1]Inputs!C5</f>
        <v>22769.8939310345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" customHeight="1" spans="1:26">
      <c r="A15" s="9" t="str">
        <f>'Cost Model'!A7</f>
        <v>GPT-4o-mini</v>
      </c>
      <c r="B15" s="9" t="s">
        <v>162</v>
      </c>
      <c r="C15" s="32">
        <v>-0.1</v>
      </c>
      <c r="D15" s="32">
        <f>'Cost Model'!B7</f>
        <v>0.586206896551724</v>
      </c>
      <c r="E15" s="32">
        <f t="shared" si="0"/>
        <v>0.486206896551724</v>
      </c>
      <c r="F15" s="35">
        <f>'Cost Model'!J7</f>
        <v>0.00128828793103448</v>
      </c>
      <c r="G15" s="35">
        <f>(1-E15)*[1]Inputs!C8</f>
        <v>3.9048275862069</v>
      </c>
      <c r="H15" s="35">
        <f>'Cost Model'!L7</f>
        <v>0.053625</v>
      </c>
      <c r="I15" s="35">
        <f t="shared" si="1"/>
        <v>3.95974087413793</v>
      </c>
      <c r="J15" s="38">
        <f>I15*[1]Inputs!C5</f>
        <v>31677.9269931035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" customHeight="1" spans="1:26">
      <c r="A16" s="9" t="str">
        <f>'Cost Model'!A7</f>
        <v>GPT-4o-mini</v>
      </c>
      <c r="B16" s="9" t="s">
        <v>163</v>
      </c>
      <c r="C16" s="32">
        <v>-0.05</v>
      </c>
      <c r="D16" s="32">
        <f>'Cost Model'!B7</f>
        <v>0.586206896551724</v>
      </c>
      <c r="E16" s="32">
        <f t="shared" si="0"/>
        <v>0.536206896551724</v>
      </c>
      <c r="F16" s="35">
        <f>'Cost Model'!J7</f>
        <v>0.00128828793103448</v>
      </c>
      <c r="G16" s="35">
        <f>(1-E16)*[1]Inputs!C8</f>
        <v>3.5248275862069</v>
      </c>
      <c r="H16" s="35">
        <f>'Cost Model'!L7</f>
        <v>0.053625</v>
      </c>
      <c r="I16" s="35">
        <f t="shared" si="1"/>
        <v>3.57974087413793</v>
      </c>
      <c r="J16" s="38">
        <f>I16*[1]Inputs!C5</f>
        <v>28637.9269931035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" customHeight="1" spans="1:26">
      <c r="A17" s="7" t="str">
        <f>'Cost Model'!A7</f>
        <v>GPT-4o-mini</v>
      </c>
      <c r="B17" s="9" t="s">
        <v>164</v>
      </c>
      <c r="C17" s="32">
        <v>0</v>
      </c>
      <c r="D17" s="32">
        <f>'Cost Model'!B7</f>
        <v>0.586206896551724</v>
      </c>
      <c r="E17" s="32">
        <f t="shared" si="0"/>
        <v>0.586206896551724</v>
      </c>
      <c r="F17" s="35">
        <f>'Cost Model'!J7</f>
        <v>0.00128828793103448</v>
      </c>
      <c r="G17" s="35">
        <f>(1-E17)*[1]Inputs!C8</f>
        <v>3.1448275862069</v>
      </c>
      <c r="H17" s="35">
        <f>'Cost Model'!L7</f>
        <v>0.053625</v>
      </c>
      <c r="I17" s="35">
        <f t="shared" si="1"/>
        <v>3.19974087413793</v>
      </c>
      <c r="J17" s="38">
        <f>I17*[1]Inputs!C5</f>
        <v>25597.9269931035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" customHeight="1" spans="1:26">
      <c r="A18" s="9" t="str">
        <f>'Cost Model'!A7</f>
        <v>GPT-4o-mini</v>
      </c>
      <c r="B18" s="9" t="s">
        <v>165</v>
      </c>
      <c r="C18" s="32">
        <v>0.05</v>
      </c>
      <c r="D18" s="32">
        <f>'Cost Model'!B7</f>
        <v>0.586206896551724</v>
      </c>
      <c r="E18" s="32">
        <f t="shared" si="0"/>
        <v>0.636206896551724</v>
      </c>
      <c r="F18" s="35">
        <f>'Cost Model'!J7</f>
        <v>0.00128828793103448</v>
      </c>
      <c r="G18" s="35">
        <f>(1-E18)*[1]Inputs!C8</f>
        <v>2.7648275862069</v>
      </c>
      <c r="H18" s="35">
        <f>'Cost Model'!L7</f>
        <v>0.053625</v>
      </c>
      <c r="I18" s="35">
        <f t="shared" si="1"/>
        <v>2.81974087413793</v>
      </c>
      <c r="J18" s="38">
        <f>I18*[1]Inputs!C5</f>
        <v>22557.9269931035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" customHeight="1" spans="1:26">
      <c r="A19" s="9" t="str">
        <f>'Cost Model'!A7</f>
        <v>GPT-4o-mini</v>
      </c>
      <c r="B19" s="9" t="s">
        <v>166</v>
      </c>
      <c r="C19" s="32">
        <v>0.1</v>
      </c>
      <c r="D19" s="32">
        <f>'Cost Model'!B7</f>
        <v>0.586206896551724</v>
      </c>
      <c r="E19" s="32">
        <f t="shared" si="0"/>
        <v>0.686206896551724</v>
      </c>
      <c r="F19" s="35">
        <f>'Cost Model'!J7</f>
        <v>0.00128828793103448</v>
      </c>
      <c r="G19" s="35">
        <f>(1-E19)*[1]Inputs!C8</f>
        <v>2.3848275862069</v>
      </c>
      <c r="H19" s="35">
        <f>'Cost Model'!L7</f>
        <v>0.053625</v>
      </c>
      <c r="I19" s="35">
        <f t="shared" si="1"/>
        <v>2.43974087413793</v>
      </c>
      <c r="J19" s="38">
        <f>I19*[1]Inputs!C5</f>
        <v>19517.9269931035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" customHeight="1" spans="1:26">
      <c r="A20" s="7" t="str">
        <f>'Cost Model'!A8</f>
        <v>Qwen3.8 Flash</v>
      </c>
      <c r="B20" s="9" t="s">
        <v>162</v>
      </c>
      <c r="C20" s="32">
        <v>-0.1</v>
      </c>
      <c r="D20" s="32">
        <f>'Cost Model'!B8</f>
        <v>0.5</v>
      </c>
      <c r="E20" s="32">
        <f t="shared" si="0"/>
        <v>0.4</v>
      </c>
      <c r="F20" s="35">
        <f>'Cost Model'!J8</f>
        <v>0.00223153172413793</v>
      </c>
      <c r="G20" s="35">
        <f>(1-E20)*[1]Inputs!C8</f>
        <v>4.56</v>
      </c>
      <c r="H20" s="35">
        <f>'Cost Model'!L8</f>
        <v>0.053625</v>
      </c>
      <c r="I20" s="35">
        <f t="shared" si="1"/>
        <v>4.61585653172414</v>
      </c>
      <c r="J20" s="38">
        <f>I20*[1]Inputs!C5</f>
        <v>36926.8522537931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" customHeight="1" spans="1:26">
      <c r="A21" s="9" t="str">
        <f>'Cost Model'!A8</f>
        <v>Qwen3.8 Flash</v>
      </c>
      <c r="B21" s="9" t="s">
        <v>163</v>
      </c>
      <c r="C21" s="32">
        <v>-0.05</v>
      </c>
      <c r="D21" s="32">
        <f>'Cost Model'!B8</f>
        <v>0.5</v>
      </c>
      <c r="E21" s="32">
        <f t="shared" si="0"/>
        <v>0.45</v>
      </c>
      <c r="F21" s="35">
        <f>'Cost Model'!J8</f>
        <v>0.00223153172413793</v>
      </c>
      <c r="G21" s="35">
        <f>(1-E21)*[1]Inputs!C8</f>
        <v>4.18</v>
      </c>
      <c r="H21" s="35">
        <f>'Cost Model'!L8</f>
        <v>0.053625</v>
      </c>
      <c r="I21" s="35">
        <f t="shared" si="1"/>
        <v>4.23585653172414</v>
      </c>
      <c r="J21" s="38">
        <f>I21*[1]Inputs!C5</f>
        <v>33886.8522537931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" customHeight="1" spans="1:26">
      <c r="A22" s="9" t="str">
        <f>'Cost Model'!A8</f>
        <v>Qwen3.8 Flash</v>
      </c>
      <c r="B22" s="9" t="s">
        <v>164</v>
      </c>
      <c r="C22" s="32">
        <v>0</v>
      </c>
      <c r="D22" s="32">
        <f>'Cost Model'!B8</f>
        <v>0.5</v>
      </c>
      <c r="E22" s="32">
        <f t="shared" si="0"/>
        <v>0.5</v>
      </c>
      <c r="F22" s="35">
        <f>'Cost Model'!J8</f>
        <v>0.00223153172413793</v>
      </c>
      <c r="G22" s="35">
        <f>(1-E22)*[1]Inputs!C8</f>
        <v>3.8</v>
      </c>
      <c r="H22" s="35">
        <f>'Cost Model'!L8</f>
        <v>0.053625</v>
      </c>
      <c r="I22" s="35">
        <f t="shared" si="1"/>
        <v>3.85585653172414</v>
      </c>
      <c r="J22" s="38">
        <f>I22*[1]Inputs!C5</f>
        <v>30846.8522537931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" customHeight="1" spans="1:26">
      <c r="A23" s="7" t="str">
        <f>'Cost Model'!A8</f>
        <v>Qwen3.8 Flash</v>
      </c>
      <c r="B23" s="9" t="s">
        <v>165</v>
      </c>
      <c r="C23" s="32">
        <v>0.05</v>
      </c>
      <c r="D23" s="32">
        <f>'Cost Model'!B8</f>
        <v>0.5</v>
      </c>
      <c r="E23" s="32">
        <f t="shared" si="0"/>
        <v>0.55</v>
      </c>
      <c r="F23" s="35">
        <f>'Cost Model'!J8</f>
        <v>0.00223153172413793</v>
      </c>
      <c r="G23" s="35">
        <f>(1-E23)*[1]Inputs!C8</f>
        <v>3.42</v>
      </c>
      <c r="H23" s="35">
        <f>'Cost Model'!L8</f>
        <v>0.053625</v>
      </c>
      <c r="I23" s="35">
        <f t="shared" si="1"/>
        <v>3.47585653172414</v>
      </c>
      <c r="J23" s="38">
        <f>I23*[1]Inputs!C5</f>
        <v>27806.8522537931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" customHeight="1" spans="1:26">
      <c r="A24" s="9" t="str">
        <f>'Cost Model'!A8</f>
        <v>Qwen3.8 Flash</v>
      </c>
      <c r="B24" s="13" t="s">
        <v>166</v>
      </c>
      <c r="C24" s="33">
        <v>0.1</v>
      </c>
      <c r="D24" s="33">
        <f>'Cost Model'!B8</f>
        <v>0.5</v>
      </c>
      <c r="E24" s="33">
        <f t="shared" si="0"/>
        <v>0.6</v>
      </c>
      <c r="F24" s="36">
        <f>'Cost Model'!J8</f>
        <v>0.00223153172413793</v>
      </c>
      <c r="G24" s="36">
        <f>(1-E24)*[1]Inputs!C8</f>
        <v>3.04</v>
      </c>
      <c r="H24" s="36">
        <f>'Cost Model'!L8</f>
        <v>0.053625</v>
      </c>
      <c r="I24" s="36">
        <f t="shared" si="1"/>
        <v>3.09585653172414</v>
      </c>
      <c r="J24" s="39">
        <f>I24*[1]Inputs!C5</f>
        <v>24766.8522537931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" customHeight="1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" customHeight="1" spans="1:26">
      <c r="A26" s="15" t="s">
        <v>167</v>
      </c>
      <c r="B26" s="16" t="s">
        <v>168</v>
      </c>
      <c r="C26" s="16"/>
      <c r="D26" s="16"/>
      <c r="E26" s="16"/>
      <c r="F26" s="16"/>
      <c r="G26" s="16"/>
      <c r="H26" s="16"/>
      <c r="I26" s="16"/>
      <c r="J26" s="16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" customHeight="1" spans="1:26">
      <c r="A27" s="15" t="s">
        <v>169</v>
      </c>
      <c r="B27" s="16" t="s">
        <v>170</v>
      </c>
      <c r="C27" s="16"/>
      <c r="D27" s="16"/>
      <c r="E27" s="16"/>
      <c r="F27" s="16"/>
      <c r="G27" s="16"/>
      <c r="H27" s="16"/>
      <c r="I27" s="16"/>
      <c r="J27" s="16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" customHeight="1" spans="1:26">
      <c r="A28" s="15" t="s">
        <v>171</v>
      </c>
      <c r="B28" s="16" t="s">
        <v>172</v>
      </c>
      <c r="C28" s="16"/>
      <c r="D28" s="16"/>
      <c r="E28" s="16"/>
      <c r="F28" s="16"/>
      <c r="G28" s="16"/>
      <c r="H28" s="16"/>
      <c r="I28" s="16"/>
      <c r="J28" s="16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" customHeight="1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" customHeight="1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" customHeight="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" customHeight="1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" customHeight="1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" customHeight="1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" customHeight="1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" customHeight="1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" customHeight="1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" customHeight="1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" customHeight="1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" customHeight="1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" customHeight="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" customHeight="1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" customHeight="1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" customHeight="1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" customHeight="1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" customHeight="1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" customHeight="1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" customHeight="1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" customHeight="1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" customHeight="1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" customHeight="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" customHeight="1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" customHeight="1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" customHeight="1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" customHeight="1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" customHeight="1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" customHeight="1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" customHeight="1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" customHeight="1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" customHeight="1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" customHeight="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" customHeight="1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" customHeight="1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" customHeight="1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" customHeight="1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" customHeight="1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" customHeight="1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" customHeight="1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" customHeight="1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" customHeight="1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" customHeight="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" customHeight="1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" customHeight="1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" customHeight="1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" customHeight="1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" customHeight="1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" customHeight="1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" customHeight="1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" customHeight="1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" customHeight="1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9"/>
  <sheetViews>
    <sheetView showGridLines="0" workbookViewId="0">
      <pane ySplit="3" topLeftCell="A4" activePane="bottomLeft" state="frozen"/>
      <selection/>
      <selection pane="bottomLeft" activeCell="E24" sqref="E24"/>
    </sheetView>
  </sheetViews>
  <sheetFormatPr defaultColWidth="11.7692307692308" defaultRowHeight="16.8"/>
  <cols>
    <col min="1" max="2" width="28.7692307692308" style="1" customWidth="1"/>
    <col min="3" max="11" width="22.2307692307692" style="1" customWidth="1"/>
    <col min="12" max="12" width="41.8461538461538" style="1" customWidth="1"/>
    <col min="13" max="16384" width="11.7692307692308" style="1"/>
  </cols>
  <sheetData>
    <row r="1" ht="15" customHeight="1" spans="1:26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Height="1" spans="1:26">
      <c r="A2" s="3" t="s">
        <v>173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1" customHeight="1" spans="1:26">
      <c r="A3" s="5" t="s">
        <v>174</v>
      </c>
      <c r="B3" s="6" t="s">
        <v>175</v>
      </c>
      <c r="C3" s="6" t="s">
        <v>176</v>
      </c>
      <c r="D3" s="6" t="s">
        <v>177</v>
      </c>
      <c r="E3" s="6" t="s">
        <v>178</v>
      </c>
      <c r="F3" s="6" t="s">
        <v>179</v>
      </c>
      <c r="G3" s="6" t="s">
        <v>180</v>
      </c>
      <c r="H3" s="6" t="s">
        <v>181</v>
      </c>
      <c r="I3" s="6" t="s">
        <v>182</v>
      </c>
      <c r="J3" s="6" t="s">
        <v>183</v>
      </c>
      <c r="K3" s="6" t="s">
        <v>184</v>
      </c>
      <c r="L3" s="30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" customHeight="1" spans="1:26">
      <c r="A4" s="24" t="str">
        <f>'Cost Model'!A5</f>
        <v>Gemma 3 27B</v>
      </c>
      <c r="B4" s="24" t="str">
        <f>'Cost Model'!A6</f>
        <v>Mistral Medium 3.5</v>
      </c>
      <c r="C4" s="24">
        <f>'Cost Model'!J5</f>
        <v>0.000721115862068965</v>
      </c>
      <c r="D4" s="24">
        <f>'Cost Model'!J6</f>
        <v>0.0146807068965517</v>
      </c>
      <c r="E4" s="24">
        <f>D4-C4</f>
        <v>0.0139595910344828</v>
      </c>
      <c r="F4" s="24">
        <f>[1]Inputs!C8</f>
        <v>7.6</v>
      </c>
      <c r="G4" s="27">
        <f>E4/F4</f>
        <v>0.00183678829401089</v>
      </c>
      <c r="H4" s="27">
        <f>1-G4</f>
        <v>0.998163211705989</v>
      </c>
      <c r="I4" s="27">
        <f>'Cost Model'!B5</f>
        <v>0.586206896551724</v>
      </c>
      <c r="J4" s="27">
        <f>'Cost Model'!B6</f>
        <v>0.53448275862069</v>
      </c>
      <c r="K4" s="27">
        <f>J4-I4</f>
        <v>-0.051724137931034</v>
      </c>
      <c r="L4" s="7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" customHeight="1" spans="1:26">
      <c r="A5" s="25" t="str">
        <f>'Cost Model'!A5</f>
        <v>Gemma 3 27B</v>
      </c>
      <c r="B5" s="25" t="str">
        <f>'Cost Model'!A7</f>
        <v>GPT-4o-mini</v>
      </c>
      <c r="C5" s="25">
        <f>'Cost Model'!J5</f>
        <v>0.000721115862068965</v>
      </c>
      <c r="D5" s="25">
        <f>'Cost Model'!J7</f>
        <v>0.00128828793103448</v>
      </c>
      <c r="E5" s="25">
        <f>D5-C5</f>
        <v>0.000567172068965517</v>
      </c>
      <c r="F5" s="25">
        <f>[1]Inputs!C8</f>
        <v>7.6</v>
      </c>
      <c r="G5" s="28">
        <f>E5/F5</f>
        <v>7.46279038112522e-5</v>
      </c>
      <c r="H5" s="28">
        <f>1-G5</f>
        <v>0.999925372096189</v>
      </c>
      <c r="I5" s="28">
        <f>'Cost Model'!B5</f>
        <v>0.586206896551724</v>
      </c>
      <c r="J5" s="28">
        <f>'Cost Model'!B7</f>
        <v>0.586206896551724</v>
      </c>
      <c r="K5" s="28">
        <f>J5-I5</f>
        <v>0</v>
      </c>
      <c r="L5" s="9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" customHeight="1" spans="1:26">
      <c r="A6" s="26" t="str">
        <f>'Cost Model'!A5</f>
        <v>Gemma 3 27B</v>
      </c>
      <c r="B6" s="26" t="str">
        <f>'Cost Model'!A8</f>
        <v>Qwen3.8 Flash</v>
      </c>
      <c r="C6" s="26">
        <f>'Cost Model'!J5</f>
        <v>0.000721115862068965</v>
      </c>
      <c r="D6" s="26">
        <f>'Cost Model'!J8</f>
        <v>0.00223153172413793</v>
      </c>
      <c r="E6" s="26">
        <f>D6-C6</f>
        <v>0.00151041586206897</v>
      </c>
      <c r="F6" s="26">
        <f>[1]Inputs!C8</f>
        <v>7.6</v>
      </c>
      <c r="G6" s="29">
        <f>E6/F6</f>
        <v>0.000198738929219601</v>
      </c>
      <c r="H6" s="29">
        <f>1-G6</f>
        <v>0.99980126107078</v>
      </c>
      <c r="I6" s="29">
        <f>'Cost Model'!B5</f>
        <v>0.586206896551724</v>
      </c>
      <c r="J6" s="29">
        <f>'Cost Model'!B8</f>
        <v>0.5</v>
      </c>
      <c r="K6" s="29">
        <f>J6-I6</f>
        <v>-0.086206896551724</v>
      </c>
      <c r="L6" s="13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" customHeight="1" spans="1:26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" customHeight="1" spans="1:26">
      <c r="A8" s="15" t="s">
        <v>185</v>
      </c>
      <c r="B8" s="16" t="s">
        <v>186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" customHeight="1" spans="1:26">
      <c r="A9" s="15" t="s">
        <v>187</v>
      </c>
      <c r="B9" s="16" t="s">
        <v>188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" customHeight="1" spans="1:26">
      <c r="A10" s="15" t="s">
        <v>189</v>
      </c>
      <c r="B10" s="16" t="s">
        <v>190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" customHeight="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" customHeight="1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" customHeight="1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" customHeight="1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" customHeight="1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" customHeight="1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" customHeight="1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" customHeight="1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" customHeight="1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" customHeight="1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" customHeight="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" customHeight="1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" customHeight="1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" customHeight="1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" customHeight="1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" customHeight="1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" customHeight="1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" customHeight="1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" customHeight="1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" customHeight="1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" customHeight="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" customHeight="1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" customHeight="1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" customHeight="1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" customHeight="1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" customHeight="1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" customHeight="1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" customHeight="1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" customHeight="1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" customHeight="1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" customHeight="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" customHeight="1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" customHeight="1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" customHeight="1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" customHeight="1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" customHeight="1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" customHeight="1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" customHeight="1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" customHeight="1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" customHeight="1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" customHeight="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" customHeight="1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" customHeight="1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" customHeight="1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" customHeight="1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" customHeight="1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" customHeight="1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" customHeight="1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" customHeight="1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" customHeight="1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" customHeight="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" customHeight="1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" customHeight="1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" customHeight="1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" customHeight="1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" customHeight="1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" customHeight="1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" customHeight="1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" customHeight="1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" customHeight="1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" customHeight="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" customHeight="1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" customHeight="1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" customHeight="1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" customHeight="1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" customHeight="1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" customHeight="1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" customHeight="1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" customHeight="1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</sheetData>
  <conditionalFormatting sqref="L4:L6">
    <cfRule type="containsText" dxfId="0" priority="1" operator="between" text="Not justified">
      <formula>NOT(ISERROR(SEARCH("Not justified",L4)))</formula>
    </cfRule>
  </conditionalFormatting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showGridLines="0" workbookViewId="0">
      <pane ySplit="4" topLeftCell="A5" activePane="bottomLeft" state="frozen"/>
      <selection/>
      <selection pane="bottomLeft" activeCell="I17" sqref="I17"/>
    </sheetView>
  </sheetViews>
  <sheetFormatPr defaultColWidth="11.7692307692308" defaultRowHeight="16.8"/>
  <cols>
    <col min="1" max="1" width="26.1538461538462" style="1" customWidth="1"/>
    <col min="2" max="2" width="36.6153846153846" style="1" customWidth="1"/>
    <col min="3" max="7" width="22.2307692307692" style="1" customWidth="1"/>
    <col min="8" max="8" width="39.25" style="1" customWidth="1"/>
    <col min="9" max="10" width="62.7692307692308" style="1" customWidth="1"/>
    <col min="11" max="11" width="11.7692307692308" style="1"/>
    <col min="12" max="12" width="91.5384615384615" style="1" customWidth="1"/>
    <col min="13" max="16384" width="11.7692307692308" style="1"/>
  </cols>
  <sheetData>
    <row r="1" ht="15" customHeight="1" spans="1:26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Height="1" spans="1:26">
      <c r="A2" s="3" t="s">
        <v>191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" customHeight="1" spans="1:26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0" customHeight="1" spans="1:26">
      <c r="A4" s="5" t="s">
        <v>192</v>
      </c>
      <c r="B4" s="6" t="s">
        <v>91</v>
      </c>
      <c r="C4" s="6" t="s">
        <v>193</v>
      </c>
      <c r="D4" s="6" t="s">
        <v>194</v>
      </c>
      <c r="E4" s="6" t="s">
        <v>195</v>
      </c>
      <c r="F4" s="6" t="s">
        <v>196</v>
      </c>
      <c r="G4" s="6" t="s">
        <v>4</v>
      </c>
      <c r="H4" s="6" t="s">
        <v>197</v>
      </c>
      <c r="I4" s="6" t="s">
        <v>169</v>
      </c>
      <c r="J4" s="20" t="s">
        <v>198</v>
      </c>
      <c r="K4" s="2"/>
      <c r="L4" s="21" t="s">
        <v>199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" customHeight="1" spans="1:26">
      <c r="A5" s="7" t="s">
        <v>200</v>
      </c>
      <c r="B5" s="7" t="s">
        <v>201</v>
      </c>
      <c r="C5" s="8">
        <v>2981</v>
      </c>
      <c r="D5" s="8">
        <v>3134</v>
      </c>
      <c r="E5" s="8">
        <f t="shared" ref="E5:E11" si="0">D5-C5</f>
        <v>153</v>
      </c>
      <c r="F5" s="17">
        <f t="shared" ref="F5:F11" si="1">IF(C5=0,"n.a.",E5/C5)</f>
        <v>0.0513250587051325</v>
      </c>
      <c r="G5" s="7" t="s">
        <v>202</v>
      </c>
      <c r="H5" s="8" t="s">
        <v>203</v>
      </c>
      <c r="I5" s="8" t="s">
        <v>204</v>
      </c>
      <c r="J5" s="8" t="s">
        <v>205</v>
      </c>
      <c r="K5" s="2"/>
      <c r="L5" s="22" t="s">
        <v>206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" customHeight="1" spans="1:26">
      <c r="A6" s="9" t="s">
        <v>207</v>
      </c>
      <c r="B6" s="9" t="s">
        <v>99</v>
      </c>
      <c r="C6" s="10">
        <v>5</v>
      </c>
      <c r="D6" s="10">
        <v>3</v>
      </c>
      <c r="E6" s="10">
        <f t="shared" si="0"/>
        <v>-2</v>
      </c>
      <c r="F6" s="12">
        <f t="shared" si="1"/>
        <v>-0.4</v>
      </c>
      <c r="G6" s="9" t="s">
        <v>28</v>
      </c>
      <c r="H6" s="10" t="s">
        <v>208</v>
      </c>
      <c r="I6" s="10" t="s">
        <v>209</v>
      </c>
      <c r="J6" s="10" t="s">
        <v>100</v>
      </c>
      <c r="K6" s="2"/>
      <c r="L6" s="22" t="s">
        <v>210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" customHeight="1" spans="1:26">
      <c r="A7" s="9" t="s">
        <v>207</v>
      </c>
      <c r="B7" s="9" t="s">
        <v>102</v>
      </c>
      <c r="C7" s="10">
        <v>550849</v>
      </c>
      <c r="D7" s="10">
        <v>337806</v>
      </c>
      <c r="E7" s="10">
        <f t="shared" si="0"/>
        <v>-213043</v>
      </c>
      <c r="F7" s="12">
        <f t="shared" si="1"/>
        <v>-0.38675390170446</v>
      </c>
      <c r="G7" s="9" t="s">
        <v>211</v>
      </c>
      <c r="H7" s="10" t="s">
        <v>208</v>
      </c>
      <c r="I7" s="10" t="s">
        <v>212</v>
      </c>
      <c r="J7" s="10" t="s">
        <v>100</v>
      </c>
      <c r="K7" s="2"/>
      <c r="L7" s="2" t="s">
        <v>213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" customHeight="1" spans="1:26">
      <c r="A8" s="9" t="s">
        <v>207</v>
      </c>
      <c r="B8" s="9" t="s">
        <v>214</v>
      </c>
      <c r="C8" s="11">
        <v>0.0653</v>
      </c>
      <c r="D8" s="11">
        <v>0.0402</v>
      </c>
      <c r="E8" s="11">
        <f t="shared" si="0"/>
        <v>-0.0251</v>
      </c>
      <c r="F8" s="12">
        <f t="shared" si="1"/>
        <v>-0.3843797856049</v>
      </c>
      <c r="G8" s="9" t="s">
        <v>105</v>
      </c>
      <c r="H8" s="18">
        <f>-(D8-C8)/33*[1]Inputs!C5</f>
        <v>6.08484848484848</v>
      </c>
      <c r="I8" s="10" t="s">
        <v>215</v>
      </c>
      <c r="J8" s="10" t="s">
        <v>100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" customHeight="1" spans="1:26">
      <c r="A9" s="9" t="s">
        <v>216</v>
      </c>
      <c r="B9" s="9" t="s">
        <v>217</v>
      </c>
      <c r="C9" s="10">
        <v>41.86</v>
      </c>
      <c r="D9" s="10">
        <v>60.71</v>
      </c>
      <c r="E9" s="10">
        <f t="shared" si="0"/>
        <v>18.85</v>
      </c>
      <c r="F9" s="12">
        <f t="shared" si="1"/>
        <v>0.450310559006211</v>
      </c>
      <c r="G9" s="9" t="s">
        <v>218</v>
      </c>
      <c r="H9" s="18" t="s">
        <v>219</v>
      </c>
      <c r="I9" s="10" t="s">
        <v>220</v>
      </c>
      <c r="J9" s="10" t="s">
        <v>221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" customHeight="1" spans="1:26">
      <c r="A10" s="9" t="s">
        <v>131</v>
      </c>
      <c r="B10" s="9" t="s">
        <v>222</v>
      </c>
      <c r="C10" s="12">
        <v>0.0862068965517241</v>
      </c>
      <c r="D10" s="12">
        <v>0.120689655172414</v>
      </c>
      <c r="E10" s="12">
        <f t="shared" si="0"/>
        <v>0.0344827586206899</v>
      </c>
      <c r="F10" s="12">
        <f t="shared" si="1"/>
        <v>0.400000000000003</v>
      </c>
      <c r="G10" s="9" t="s">
        <v>223</v>
      </c>
      <c r="H10" s="18">
        <f>(D10-C10)*[1]Inputs!C8*[1]Inputs!C5</f>
        <v>2096.55172413795</v>
      </c>
      <c r="I10" s="10" t="s">
        <v>224</v>
      </c>
      <c r="J10" s="10" t="s">
        <v>225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" customHeight="1" spans="1:26">
      <c r="A11" s="13" t="s">
        <v>131</v>
      </c>
      <c r="B11" s="13" t="s">
        <v>226</v>
      </c>
      <c r="C11" s="14">
        <v>0.5</v>
      </c>
      <c r="D11" s="14">
        <v>0.586206896551724</v>
      </c>
      <c r="E11" s="14">
        <f t="shared" si="0"/>
        <v>0.086206896551724</v>
      </c>
      <c r="F11" s="14">
        <f t="shared" si="1"/>
        <v>0.172413793103448</v>
      </c>
      <c r="G11" s="13" t="s">
        <v>223</v>
      </c>
      <c r="H11" s="19">
        <f>(D11-C11)*[1]Inputs!C8*[1]Inputs!C5</f>
        <v>5241.37931034482</v>
      </c>
      <c r="I11" s="23" t="s">
        <v>227</v>
      </c>
      <c r="J11" s="23" t="s">
        <v>228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" customHeight="1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" customHeight="1" spans="1:26">
      <c r="A13" s="15" t="s">
        <v>229</v>
      </c>
      <c r="B13" s="16" t="s">
        <v>230</v>
      </c>
      <c r="C13" s="16"/>
      <c r="D13" s="16"/>
      <c r="E13" s="16"/>
      <c r="F13" s="16"/>
      <c r="G13" s="16"/>
      <c r="H13" s="16"/>
      <c r="I13" s="16"/>
      <c r="J13" s="16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" customHeight="1" spans="1:26">
      <c r="A14" s="15" t="s">
        <v>231</v>
      </c>
      <c r="B14" s="16" t="s">
        <v>232</v>
      </c>
      <c r="C14" s="16"/>
      <c r="D14" s="16"/>
      <c r="E14" s="16"/>
      <c r="F14" s="16"/>
      <c r="G14" s="16"/>
      <c r="H14" s="16"/>
      <c r="I14" s="16"/>
      <c r="J14" s="16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" customHeight="1" spans="1:26">
      <c r="A15" s="15" t="s">
        <v>131</v>
      </c>
      <c r="B15" s="16" t="s">
        <v>233</v>
      </c>
      <c r="C15" s="16"/>
      <c r="D15" s="16"/>
      <c r="E15" s="16"/>
      <c r="F15" s="16"/>
      <c r="G15" s="16"/>
      <c r="H15" s="16"/>
      <c r="I15" s="16"/>
      <c r="J15" s="16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" customHeight="1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" customHeight="1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" customHeight="1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" customHeight="1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" customHeight="1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" customHeight="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" customHeight="1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" customHeight="1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" customHeight="1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" customHeight="1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" customHeight="1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" customHeight="1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" customHeight="1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" customHeight="1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" customHeight="1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" customHeight="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" customHeight="1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" customHeight="1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" customHeight="1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" customHeight="1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" customHeight="1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" customHeight="1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" customHeight="1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" customHeight="1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" customHeight="1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" customHeight="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" customHeight="1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" customHeight="1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" customHeight="1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" customHeight="1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" customHeight="1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" customHeight="1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" customHeight="1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" customHeight="1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" customHeight="1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" customHeight="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" customHeight="1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" customHeight="1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" customHeight="1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" customHeight="1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" customHeight="1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" customHeight="1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" customHeight="1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" customHeight="1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" customHeight="1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" customHeight="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" customHeight="1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" customHeight="1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" customHeight="1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" customHeight="1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" customHeight="1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" customHeight="1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" customHeight="1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" customHeight="1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" customHeight="1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" customHeight="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" customHeight="1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" customHeight="1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" customHeight="1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" customHeight="1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" customHeight="1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" customHeight="1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" customHeight="1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" customHeight="1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" customHeight="1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Inputs</vt:lpstr>
      <vt:lpstr>Model Results</vt:lpstr>
      <vt:lpstr>Cost Model</vt:lpstr>
      <vt:lpstr>Sensitivity</vt:lpstr>
      <vt:lpstr>Break-even</vt:lpstr>
      <vt:lpstr>Cost Levers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hanhaochen</dc:creator>
  <cp:lastModifiedBy>云起</cp:lastModifiedBy>
  <dcterms:created xsi:type="dcterms:W3CDTF">2026-09-20T06:35:00Z</dcterms:created>
  <dcterms:modified xsi:type="dcterms:W3CDTF">2026-09-20T01:13:59Z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9A9CEF5744FEE02FBFA4AE6A8FA278E3_41</vt:lpwstr>
  </property>
  <property fmtid="{D5CDD505-2E9C-101B-9397-08002B2CF9AE}" pid="3" name="KSOProductBuildVer">
    <vt:lpwstr>2052-7.4.1.8983</vt:lpwstr>
  </property>
</Properties>
</file>